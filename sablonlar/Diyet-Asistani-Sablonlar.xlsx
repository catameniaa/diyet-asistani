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nışan Takip" sheetId="1" state="visible" r:id="rId3"/>
    <sheet name="Haftalık Menü" sheetId="2" state="visible" r:id="rId4"/>
    <sheet name="Besin Kaydı" sheetId="3" state="visible" r:id="rId5"/>
    <sheet name="Staj Saatleri" sheetId="4" state="visible" r:id="rId6"/>
    <sheet name="Enerji Hesab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<sst xmlns="http://schemas.openxmlformats.org/spreadsheetml/2006/main" count="91" uniqueCount="81">
  <si>
    <t xml:space="preserve">Danışan takip çizelgesi</t>
  </si>
  <si>
    <t xml:space="preserve">Sarı zeminli mavi hücreleri doldur. BKİ ve bel/kalça oranı otomatik hesaplanır. İlk satır örnektir; üzerine yazabilirsin.</t>
  </si>
  <si>
    <t xml:space="preserve">Tarih</t>
  </si>
  <si>
    <t xml:space="preserve">Kilo (kg)</t>
  </si>
  <si>
    <t xml:space="preserve">Boy (cm)</t>
  </si>
  <si>
    <t xml:space="preserve">Bel (cm)</t>
  </si>
  <si>
    <t xml:space="preserve">Kalça (cm)</t>
  </si>
  <si>
    <t xml:space="preserve">Yağ (%)</t>
  </si>
  <si>
    <t xml:space="preserve">BKİ (kg/m²)</t>
  </si>
  <si>
    <t xml:space="preserve">Bel/Kalça</t>
  </si>
  <si>
    <t xml:space="preserve">Not</t>
  </si>
  <si>
    <t xml:space="preserve">Örnek satır</t>
  </si>
  <si>
    <t xml:space="preserve">Değişim (ilk → son kilo)</t>
  </si>
  <si>
    <t xml:space="preserve">Haftalık menü planı</t>
  </si>
  <si>
    <t xml:space="preserve">Sarı hücrelere yemek yaz; en alt satıra günlük toplam enerjiyi (kcal) gir. Örnek: Pazartesi kahvaltı.</t>
  </si>
  <si>
    <t xml:space="preserve">Öğün</t>
  </si>
  <si>
    <t xml:space="preserve">Pazartesi</t>
  </si>
  <si>
    <t xml:space="preserve">Salı</t>
  </si>
  <si>
    <t xml:space="preserve">Çarşamba</t>
  </si>
  <si>
    <t xml:space="preserve">Perşembe</t>
  </si>
  <si>
    <t xml:space="preserve">Cuma</t>
  </si>
  <si>
    <t xml:space="preserve">Cumartesi</t>
  </si>
  <si>
    <t xml:space="preserve">Pazar</t>
  </si>
  <si>
    <t xml:space="preserve">Kahvaltı</t>
  </si>
  <si>
    <t xml:space="preserve">1 dilim tam buğday ekmeği, 30 g beyaz peynir, domates, salatalık, 1 haşlanmış yumurta</t>
  </si>
  <si>
    <t xml:space="preserve">Kuşluk</t>
  </si>
  <si>
    <t xml:space="preserve">Öğle</t>
  </si>
  <si>
    <t xml:space="preserve">İkindi</t>
  </si>
  <si>
    <t xml:space="preserve">Akşam</t>
  </si>
  <si>
    <t xml:space="preserve">Gece ara öğünü</t>
  </si>
  <si>
    <t xml:space="preserve">Günlük toplam (kcal)</t>
  </si>
  <si>
    <t xml:space="preserve">Haftalık ortalama</t>
  </si>
  <si>
    <t xml:space="preserve">3 günlük besin tüketim kaydı</t>
  </si>
  <si>
    <t xml:space="preserve">Besin adı, miktar (g) ve 100 g değerlerini gir (Diyet Asistanı uygulamasından bakabilirsin). Enerji ve makrolar otomatik hesaplanır.</t>
  </si>
  <si>
    <t xml:space="preserve">Gün (1-3)</t>
  </si>
  <si>
    <t xml:space="preserve">Besin</t>
  </si>
  <si>
    <t xml:space="preserve">Miktar (g)</t>
  </si>
  <si>
    <t xml:space="preserve">kcal /100 g</t>
  </si>
  <si>
    <t xml:space="preserve">Protein /100 g</t>
  </si>
  <si>
    <t xml:space="preserve">KH /100 g</t>
  </si>
  <si>
    <t xml:space="preserve">Yağ /100 g</t>
  </si>
  <si>
    <t xml:space="preserve">kcal</t>
  </si>
  <si>
    <t xml:space="preserve">Protein (g)</t>
  </si>
  <si>
    <t xml:space="preserve">KH (g)</t>
  </si>
  <si>
    <t xml:space="preserve">Yağ (g)</t>
  </si>
  <si>
    <t xml:space="preserve">Beyaz peynir (tam yağlı)</t>
  </si>
  <si>
    <t xml:space="preserve">TOPLAM (3 gün)</t>
  </si>
  <si>
    <t xml:space="preserve">GÜNLÜK ORTALAMA</t>
  </si>
  <si>
    <t xml:space="preserve">Gün bazında enerji (kcal)</t>
  </si>
  <si>
    <t xml:space="preserve">1. gün</t>
  </si>
  <si>
    <t xml:space="preserve">2. gün</t>
  </si>
  <si>
    <t xml:space="preserve">3. gün</t>
  </si>
  <si>
    <t xml:space="preserve">Staj saat çizelgesi</t>
  </si>
  <si>
    <t xml:space="preserve">Başlangıç ve bitiş saatini gir (örn. 08:30 ve 16:30); süre otomatik hesaplanır.</t>
  </si>
  <si>
    <t xml:space="preserve">Yer / Birim</t>
  </si>
  <si>
    <t xml:space="preserve">Başlangıç</t>
  </si>
  <si>
    <t xml:space="preserve">Bitiş</t>
  </si>
  <si>
    <t xml:space="preserve">Süre (saat)</t>
  </si>
  <si>
    <t xml:space="preserve">Yapılan iş</t>
  </si>
  <si>
    <t xml:space="preserve">Dahiliye servisi</t>
  </si>
  <si>
    <t xml:space="preserve">Vizit, antropometri ölçümü, diyet reçetesi</t>
  </si>
  <si>
    <t xml:space="preserve">TOPLAM SAAT</t>
  </si>
  <si>
    <t xml:space="preserve">Enerji ve makro besin hesabı</t>
  </si>
  <si>
    <t xml:space="preserve">Sarı hücreleri doldur. Mifflin–St Jeor ve Harris–Benedict (revize) formülleri kullanılır.</t>
  </si>
  <si>
    <t xml:space="preserve">Cinsiyet (E/K)</t>
  </si>
  <si>
    <t xml:space="preserve">K</t>
  </si>
  <si>
    <t xml:space="preserve">Yaş</t>
  </si>
  <si>
    <t xml:space="preserve">Fiziksel aktivite düzeyi (PAL)</t>
  </si>
  <si>
    <t xml:space="preserve">PAL: 1,2 hareketsiz · 1,375 hafif · 1,55 orta · 1,725 aktif · 1,9 çok aktif</t>
  </si>
  <si>
    <t xml:space="preserve">Hedef enerji farkı (kcal, kilo vermek için − yaz)</t>
  </si>
  <si>
    <t xml:space="preserve">Karbonhidrat (%)</t>
  </si>
  <si>
    <t xml:space="preserve">Protein (%)</t>
  </si>
  <si>
    <t xml:space="preserve">SONUÇLAR</t>
  </si>
  <si>
    <t xml:space="preserve">BMH — Mifflin–St Jeor (kcal)</t>
  </si>
  <si>
    <t xml:space="preserve">BMH — Harris–Benedict revize (kcal)</t>
  </si>
  <si>
    <t xml:space="preserve">TEH — Mifflin × PAL (kcal)</t>
  </si>
  <si>
    <t xml:space="preserve">Hedef enerji (kcal/gün)</t>
  </si>
  <si>
    <t xml:space="preserve">Yağ (%) (100 − KH − Protein)</t>
  </si>
  <si>
    <t xml:space="preserve">Karbonhidrat (g)</t>
  </si>
  <si>
    <t xml:space="preserve">Protein (g/kg)</t>
  </si>
  <si>
    <t xml:space="preserve">Kaynak: Mifflin et al. 1990; Roza &amp; Shizgal 1984. Eğitim amaçlıdır; klinik karar için yerine geçmez.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</si>
</sst>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.mm\.yyyy"/>
    <numFmt numFmtId="166" formatCode="0.0"/>
    <numFmt numFmtId="167" formatCode="0.00"/>
    <numFmt numFmtId="168" formatCode="\+0.0;\-0.0;0.0"/>
    <numFmt numFmtId="169" formatCode="#,##0"/>
    <numFmt numFmtId="170" formatCode="0"/>
    <numFmt numFmtId="171" formatCode="hh:mm"/>
    <numFmt numFmtId="172" formatCode="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7A4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7A4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7A4D"/>
        <bgColor rgb="FF008080"/>
      </patternFill>
    </fill>
    <fill>
      <patternFill patternType="solid">
        <fgColor rgb="FFFFFB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8D3"/>
      </left>
      <right style="thin">
        <color rgb="FFD0D8D3"/>
      </right>
      <top style="thin">
        <color rgb="FFD0D8D3"/>
      </top>
      <bottom style="thin">
        <color rgb="FFD0D8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993366"/>
      <rgbColor rgb="FFFFFBE0"/>
      <rgbColor rgb="FFCCFFFF"/>
      <rgbColor rgb="FF660066"/>
      <rgbColor rgb="FFFF8080"/>
      <rgbColor rgb="FF0066CC"/>
      <rgbColor rgb="FFD0D8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5" min="2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n">
        <v>46266</v>
      </c>
      <c r="B5" s="5" t="n">
        <v>72.5</v>
      </c>
      <c r="C5" s="5" t="n">
        <v>165</v>
      </c>
      <c r="D5" s="5" t="n">
        <v>80</v>
      </c>
      <c r="E5" s="5" t="n">
        <v>98</v>
      </c>
      <c r="F5" s="5" t="n">
        <v>27.5</v>
      </c>
      <c r="G5" s="6" t="n">
        <f aca="false">IF(AND(ISNUMBER(B5),ISNUMBER(C5),C5&gt;0),B5/(C5/100)^2,"")</f>
        <v>26.6299357208448</v>
      </c>
      <c r="H5" s="7" t="n">
        <f aca="false">IF(AND(ISNUMBER(D5),ISNUMBER(E5),E5&gt;0),D5/E5,"")</f>
        <v>0.816326530612245</v>
      </c>
      <c r="I5" s="8" t="s">
        <v>11</v>
      </c>
    </row>
    <row r="6" customFormat="false" ht="15" hidden="false" customHeight="false" outlineLevel="0" collapsed="false">
      <c r="A6" s="4"/>
      <c r="B6" s="5"/>
      <c r="C6" s="5"/>
      <c r="D6" s="5"/>
      <c r="E6" s="5"/>
      <c r="F6" s="5"/>
      <c r="G6" s="6" t="str">
        <f aca="false">IF(AND(ISNUMBER(B6),ISNUMBER(C6),C6&gt;0),B6/(C6/100)^2,"")</f>
        <v/>
      </c>
      <c r="H6" s="7" t="str">
        <f aca="false">IF(AND(ISNUMBER(D6),ISNUMBER(E6),E6&gt;0),D6/E6,"")</f>
        <v/>
      </c>
      <c r="I6" s="8"/>
    </row>
    <row r="7" customFormat="false" ht="15" hidden="false" customHeight="false" outlineLevel="0" collapsed="false">
      <c r="A7" s="4"/>
      <c r="B7" s="5"/>
      <c r="C7" s="5"/>
      <c r="D7" s="5"/>
      <c r="E7" s="5"/>
      <c r="F7" s="5"/>
      <c r="G7" s="6" t="str">
        <f aca="false">IF(AND(ISNUMBER(B7),ISNUMBER(C7),C7&gt;0),B7/(C7/100)^2,"")</f>
        <v/>
      </c>
      <c r="H7" s="7" t="str">
        <f aca="false">IF(AND(ISNUMBER(D7),ISNUMBER(E7),E7&gt;0),D7/E7,"")</f>
        <v/>
      </c>
      <c r="I7" s="8"/>
    </row>
    <row r="8" customFormat="false" ht="15" hidden="false" customHeight="false" outlineLevel="0" collapsed="false">
      <c r="A8" s="4"/>
      <c r="B8" s="5"/>
      <c r="C8" s="5"/>
      <c r="D8" s="5"/>
      <c r="E8" s="5"/>
      <c r="F8" s="5"/>
      <c r="G8" s="6" t="str">
        <f aca="false">IF(AND(ISNUMBER(B8),ISNUMBER(C8),C8&gt;0),B8/(C8/100)^2,"")</f>
        <v/>
      </c>
      <c r="H8" s="7" t="str">
        <f aca="false">IF(AND(ISNUMBER(D8),ISNUMBER(E8),E8&gt;0),D8/E8,"")</f>
        <v/>
      </c>
      <c r="I8" s="8"/>
    </row>
    <row r="9" customFormat="false" ht="15" hidden="false" customHeight="false" outlineLevel="0" collapsed="false">
      <c r="A9" s="4"/>
      <c r="B9" s="5"/>
      <c r="C9" s="5"/>
      <c r="D9" s="5"/>
      <c r="E9" s="5"/>
      <c r="F9" s="5"/>
      <c r="G9" s="6" t="str">
        <f aca="false">IF(AND(ISNUMBER(B9),ISNUMBER(C9),C9&gt;0),B9/(C9/100)^2,"")</f>
        <v/>
      </c>
      <c r="H9" s="7" t="str">
        <f aca="false">IF(AND(ISNUMBER(D9),ISNUMBER(E9),E9&gt;0),D9/E9,"")</f>
        <v/>
      </c>
      <c r="I9" s="8"/>
    </row>
    <row r="10" customFormat="false" ht="15" hidden="false" customHeight="false" outlineLevel="0" collapsed="false">
      <c r="A10" s="4"/>
      <c r="B10" s="5"/>
      <c r="C10" s="5"/>
      <c r="D10" s="5"/>
      <c r="E10" s="5"/>
      <c r="F10" s="5"/>
      <c r="G10" s="6" t="str">
        <f aca="false">IF(AND(ISNUMBER(B10),ISNUMBER(C10),C10&gt;0),B10/(C10/100)^2,"")</f>
        <v/>
      </c>
      <c r="H10" s="7" t="str">
        <f aca="false">IF(AND(ISNUMBER(D10),ISNUMBER(E10),E10&gt;0),D10/E10,"")</f>
        <v/>
      </c>
      <c r="I10" s="8"/>
    </row>
    <row r="11" customFormat="false" ht="15" hidden="false" customHeight="false" outlineLevel="0" collapsed="false">
      <c r="A11" s="4"/>
      <c r="B11" s="5"/>
      <c r="C11" s="5"/>
      <c r="D11" s="5"/>
      <c r="E11" s="5"/>
      <c r="F11" s="5"/>
      <c r="G11" s="6" t="str">
        <f aca="false">IF(AND(ISNUMBER(B11),ISNUMBER(C11),C11&gt;0),B11/(C11/100)^2,"")</f>
        <v/>
      </c>
      <c r="H11" s="7" t="str">
        <f aca="false">IF(AND(ISNUMBER(D11),ISNUMBER(E11),E11&gt;0),D11/E11,"")</f>
        <v/>
      </c>
      <c r="I11" s="8"/>
    </row>
    <row r="12" customFormat="false" ht="15" hidden="false" customHeight="false" outlineLevel="0" collapsed="false">
      <c r="A12" s="4"/>
      <c r="B12" s="5"/>
      <c r="C12" s="5"/>
      <c r="D12" s="5"/>
      <c r="E12" s="5"/>
      <c r="F12" s="5"/>
      <c r="G12" s="6" t="str">
        <f aca="false">IF(AND(ISNUMBER(B12),ISNUMBER(C12),C12&gt;0),B12/(C12/100)^2,"")</f>
        <v/>
      </c>
      <c r="H12" s="7" t="str">
        <f aca="false">IF(AND(ISNUMBER(D12),ISNUMBER(E12),E12&gt;0),D12/E12,"")</f>
        <v/>
      </c>
      <c r="I12" s="8"/>
    </row>
    <row r="13" customFormat="false" ht="15" hidden="false" customHeight="false" outlineLevel="0" collapsed="false">
      <c r="A13" s="4"/>
      <c r="B13" s="5"/>
      <c r="C13" s="5"/>
      <c r="D13" s="5"/>
      <c r="E13" s="5"/>
      <c r="F13" s="5"/>
      <c r="G13" s="6" t="str">
        <f aca="false">IF(AND(ISNUMBER(B13),ISNUMBER(C13),C13&gt;0),B13/(C13/100)^2,"")</f>
        <v/>
      </c>
      <c r="H13" s="7" t="str">
        <f aca="false">IF(AND(ISNUMBER(D13),ISNUMBER(E13),E13&gt;0),D13/E13,"")</f>
        <v/>
      </c>
      <c r="I13" s="8"/>
    </row>
    <row r="14" customFormat="false" ht="15" hidden="false" customHeight="false" outlineLevel="0" collapsed="false">
      <c r="A14" s="4"/>
      <c r="B14" s="5"/>
      <c r="C14" s="5"/>
      <c r="D14" s="5"/>
      <c r="E14" s="5"/>
      <c r="F14" s="5"/>
      <c r="G14" s="6" t="str">
        <f aca="false">IF(AND(ISNUMBER(B14),ISNUMBER(C14),C14&gt;0),B14/(C14/100)^2,"")</f>
        <v/>
      </c>
      <c r="H14" s="7" t="str">
        <f aca="false">IF(AND(ISNUMBER(D14),ISNUMBER(E14),E14&gt;0),D14/E14,"")</f>
        <v/>
      </c>
      <c r="I14" s="8"/>
    </row>
    <row r="15" customFormat="false" ht="15" hidden="false" customHeight="false" outlineLevel="0" collapsed="false">
      <c r="A15" s="4"/>
      <c r="B15" s="5"/>
      <c r="C15" s="5"/>
      <c r="D15" s="5"/>
      <c r="E15" s="5"/>
      <c r="F15" s="5"/>
      <c r="G15" s="6" t="str">
        <f aca="false">IF(AND(ISNUMBER(B15),ISNUMBER(C15),C15&gt;0),B15/(C15/100)^2,"")</f>
        <v/>
      </c>
      <c r="H15" s="7" t="str">
        <f aca="false">IF(AND(ISNUMBER(D15),ISNUMBER(E15),E15&gt;0),D15/E15,"")</f>
        <v/>
      </c>
      <c r="I15" s="8"/>
    </row>
    <row r="16" customFormat="false" ht="15" hidden="false" customHeight="false" outlineLevel="0" collapsed="false">
      <c r="A16" s="4"/>
      <c r="B16" s="5"/>
      <c r="C16" s="5"/>
      <c r="D16" s="5"/>
      <c r="E16" s="5"/>
      <c r="F16" s="5"/>
      <c r="G16" s="6" t="str">
        <f aca="false">IF(AND(ISNUMBER(B16),ISNUMBER(C16),C16&gt;0),B16/(C16/100)^2,"")</f>
        <v/>
      </c>
      <c r="H16" s="7" t="str">
        <f aca="false">IF(AND(ISNUMBER(D16),ISNUMBER(E16),E16&gt;0),D16/E16,"")</f>
        <v/>
      </c>
      <c r="I16" s="8"/>
    </row>
    <row r="17" customFormat="false" ht="15" hidden="false" customHeight="false" outlineLevel="0" collapsed="false">
      <c r="A17" s="4"/>
      <c r="B17" s="5"/>
      <c r="C17" s="5"/>
      <c r="D17" s="5"/>
      <c r="E17" s="5"/>
      <c r="F17" s="5"/>
      <c r="G17" s="6" t="str">
        <f aca="false">IF(AND(ISNUMBER(B17),ISNUMBER(C17),C17&gt;0),B17/(C17/100)^2,"")</f>
        <v/>
      </c>
      <c r="H17" s="7" t="str">
        <f aca="false">IF(AND(ISNUMBER(D17),ISNUMBER(E17),E17&gt;0),D17/E17,"")</f>
        <v/>
      </c>
      <c r="I17" s="8"/>
    </row>
    <row r="18" customFormat="false" ht="15" hidden="false" customHeight="false" outlineLevel="0" collapsed="false">
      <c r="A18" s="4"/>
      <c r="B18" s="5"/>
      <c r="C18" s="5"/>
      <c r="D18" s="5"/>
      <c r="E18" s="5"/>
      <c r="F18" s="5"/>
      <c r="G18" s="6" t="str">
        <f aca="false">IF(AND(ISNUMBER(B18),ISNUMBER(C18),C18&gt;0),B18/(C18/100)^2,"")</f>
        <v/>
      </c>
      <c r="H18" s="7" t="str">
        <f aca="false">IF(AND(ISNUMBER(D18),ISNUMBER(E18),E18&gt;0),D18/E18,"")</f>
        <v/>
      </c>
      <c r="I18" s="8"/>
    </row>
    <row r="19" customFormat="false" ht="15" hidden="false" customHeight="false" outlineLevel="0" collapsed="false">
      <c r="A19" s="4"/>
      <c r="B19" s="5"/>
      <c r="C19" s="5"/>
      <c r="D19" s="5"/>
      <c r="E19" s="5"/>
      <c r="F19" s="5"/>
      <c r="G19" s="6" t="str">
        <f aca="false">IF(AND(ISNUMBER(B19),ISNUMBER(C19),C19&gt;0),B19/(C19/100)^2,"")</f>
        <v/>
      </c>
      <c r="H19" s="7" t="str">
        <f aca="false">IF(AND(ISNUMBER(D19),ISNUMBER(E19),E19&gt;0),D19/E19,"")</f>
        <v/>
      </c>
      <c r="I19" s="8"/>
    </row>
    <row r="20" customFormat="false" ht="15" hidden="false" customHeight="false" outlineLevel="0" collapsed="false">
      <c r="A20" s="4"/>
      <c r="B20" s="5"/>
      <c r="C20" s="5"/>
      <c r="D20" s="5"/>
      <c r="E20" s="5"/>
      <c r="F20" s="5"/>
      <c r="G20" s="6" t="str">
        <f aca="false">IF(AND(ISNUMBER(B20),ISNUMBER(C20),C20&gt;0),B20/(C20/100)^2,"")</f>
        <v/>
      </c>
      <c r="H20" s="7" t="str">
        <f aca="false">IF(AND(ISNUMBER(D20),ISNUMBER(E20),E20&gt;0),D20/E20,"")</f>
        <v/>
      </c>
      <c r="I20" s="8"/>
    </row>
    <row r="21" customFormat="false" ht="15" hidden="false" customHeight="false" outlineLevel="0" collapsed="false">
      <c r="A21" s="4"/>
      <c r="B21" s="5"/>
      <c r="C21" s="5"/>
      <c r="D21" s="5"/>
      <c r="E21" s="5"/>
      <c r="F21" s="5"/>
      <c r="G21" s="6" t="str">
        <f aca="false">IF(AND(ISNUMBER(B21),ISNUMBER(C21),C21&gt;0),B21/(C21/100)^2,"")</f>
        <v/>
      </c>
      <c r="H21" s="7" t="str">
        <f aca="false">IF(AND(ISNUMBER(D21),ISNUMBER(E21),E21&gt;0),D21/E21,"")</f>
        <v/>
      </c>
      <c r="I21" s="8"/>
    </row>
    <row r="22" customFormat="false" ht="15" hidden="false" customHeight="false" outlineLevel="0" collapsed="false">
      <c r="A22" s="4"/>
      <c r="B22" s="5"/>
      <c r="C22" s="5"/>
      <c r="D22" s="5"/>
      <c r="E22" s="5"/>
      <c r="F22" s="5"/>
      <c r="G22" s="6" t="str">
        <f aca="false">IF(AND(ISNUMBER(B22),ISNUMBER(C22),C22&gt;0),B22/(C22/100)^2,"")</f>
        <v/>
      </c>
      <c r="H22" s="7" t="str">
        <f aca="false">IF(AND(ISNUMBER(D22),ISNUMBER(E22),E22&gt;0),D22/E22,"")</f>
        <v/>
      </c>
      <c r="I22" s="8"/>
    </row>
    <row r="23" customFormat="false" ht="15" hidden="false" customHeight="false" outlineLevel="0" collapsed="false">
      <c r="A23" s="4"/>
      <c r="B23" s="5"/>
      <c r="C23" s="5"/>
      <c r="D23" s="5"/>
      <c r="E23" s="5"/>
      <c r="F23" s="5"/>
      <c r="G23" s="6" t="str">
        <f aca="false">IF(AND(ISNUMBER(B23),ISNUMBER(C23),C23&gt;0),B23/(C23/100)^2,"")</f>
        <v/>
      </c>
      <c r="H23" s="7" t="str">
        <f aca="false">IF(AND(ISNUMBER(D23),ISNUMBER(E23),E23&gt;0),D23/E23,"")</f>
        <v/>
      </c>
      <c r="I23" s="8"/>
    </row>
    <row r="24" customFormat="false" ht="15" hidden="false" customHeight="false" outlineLevel="0" collapsed="false">
      <c r="A24" s="4"/>
      <c r="B24" s="5"/>
      <c r="C24" s="5"/>
      <c r="D24" s="5"/>
      <c r="E24" s="5"/>
      <c r="F24" s="5"/>
      <c r="G24" s="6" t="str">
        <f aca="false">IF(AND(ISNUMBER(B24),ISNUMBER(C24),C24&gt;0),B24/(C24/100)^2,"")</f>
        <v/>
      </c>
      <c r="H24" s="7" t="str">
        <f aca="false">IF(AND(ISNUMBER(D24),ISNUMBER(E24),E24&gt;0),D24/E24,"")</f>
        <v/>
      </c>
      <c r="I24" s="8"/>
    </row>
    <row r="25" customFormat="false" ht="15" hidden="false" customHeight="false" outlineLevel="0" collapsed="false">
      <c r="A25" s="4"/>
      <c r="B25" s="5"/>
      <c r="C25" s="5"/>
      <c r="D25" s="5"/>
      <c r="E25" s="5"/>
      <c r="F25" s="5"/>
      <c r="G25" s="6" t="str">
        <f aca="false">IF(AND(ISNUMBER(B25),ISNUMBER(C25),C25&gt;0),B25/(C25/100)^2,"")</f>
        <v/>
      </c>
      <c r="H25" s="7" t="str">
        <f aca="false">IF(AND(ISNUMBER(D25),ISNUMBER(E25),E25&gt;0),D25/E25,"")</f>
        <v/>
      </c>
      <c r="I25" s="8"/>
    </row>
    <row r="26" customFormat="false" ht="15" hidden="false" customHeight="false" outlineLevel="0" collapsed="false">
      <c r="A26" s="4"/>
      <c r="B26" s="5"/>
      <c r="C26" s="5"/>
      <c r="D26" s="5"/>
      <c r="E26" s="5"/>
      <c r="F26" s="5"/>
      <c r="G26" s="6" t="str">
        <f aca="false">IF(AND(ISNUMBER(B26),ISNUMBER(C26),C26&gt;0),B26/(C26/100)^2,"")</f>
        <v/>
      </c>
      <c r="H26" s="7" t="str">
        <f aca="false">IF(AND(ISNUMBER(D26),ISNUMBER(E26),E26&gt;0),D26/E26,"")</f>
        <v/>
      </c>
      <c r="I26" s="8"/>
    </row>
    <row r="27" customFormat="false" ht="15" hidden="false" customHeight="false" outlineLevel="0" collapsed="false">
      <c r="A27" s="4"/>
      <c r="B27" s="5"/>
      <c r="C27" s="5"/>
      <c r="D27" s="5"/>
      <c r="E27" s="5"/>
      <c r="F27" s="5"/>
      <c r="G27" s="6" t="str">
        <f aca="false">IF(AND(ISNUMBER(B27),ISNUMBER(C27),C27&gt;0),B27/(C27/100)^2,"")</f>
        <v/>
      </c>
      <c r="H27" s="7" t="str">
        <f aca="false">IF(AND(ISNUMBER(D27),ISNUMBER(E27),E27&gt;0),D27/E27,"")</f>
        <v/>
      </c>
      <c r="I27" s="8"/>
    </row>
    <row r="28" customFormat="false" ht="15" hidden="false" customHeight="false" outlineLevel="0" collapsed="false">
      <c r="A28" s="4"/>
      <c r="B28" s="5"/>
      <c r="C28" s="5"/>
      <c r="D28" s="5"/>
      <c r="E28" s="5"/>
      <c r="F28" s="5"/>
      <c r="G28" s="6" t="str">
        <f aca="false">IF(AND(ISNUMBER(B28),ISNUMBER(C28),C28&gt;0),B28/(C28/100)^2,"")</f>
        <v/>
      </c>
      <c r="H28" s="7" t="str">
        <f aca="false">IF(AND(ISNUMBER(D28),ISNUMBER(E28),E28&gt;0),D28/E28,"")</f>
        <v/>
      </c>
      <c r="I28" s="8"/>
    </row>
    <row r="29" customFormat="false" ht="15" hidden="false" customHeight="false" outlineLevel="0" collapsed="false">
      <c r="A29" s="4"/>
      <c r="B29" s="5"/>
      <c r="C29" s="5"/>
      <c r="D29" s="5"/>
      <c r="E29" s="5"/>
      <c r="F29" s="5"/>
      <c r="G29" s="6" t="str">
        <f aca="false">IF(AND(ISNUMBER(B29),ISNUMBER(C29),C29&gt;0),B29/(C29/100)^2,"")</f>
        <v/>
      </c>
      <c r="H29" s="7" t="str">
        <f aca="false">IF(AND(ISNUMBER(D29),ISNUMBER(E29),E29&gt;0),D29/E29,"")</f>
        <v/>
      </c>
      <c r="I29" s="8"/>
    </row>
    <row r="30" customFormat="false" ht="15" hidden="false" customHeight="false" outlineLevel="0" collapsed="false">
      <c r="A30" s="4"/>
      <c r="B30" s="5"/>
      <c r="C30" s="5"/>
      <c r="D30" s="5"/>
      <c r="E30" s="5"/>
      <c r="F30" s="5"/>
      <c r="G30" s="6" t="str">
        <f aca="false">IF(AND(ISNUMBER(B30),ISNUMBER(C30),C30&gt;0),B30/(C30/100)^2,"")</f>
        <v/>
      </c>
      <c r="H30" s="7" t="str">
        <f aca="false">IF(AND(ISNUMBER(D30),ISNUMBER(E30),E30&gt;0),D30/E30,"")</f>
        <v/>
      </c>
      <c r="I30" s="8"/>
    </row>
    <row r="31" customFormat="false" ht="15" hidden="false" customHeight="false" outlineLevel="0" collapsed="false">
      <c r="A31" s="4"/>
      <c r="B31" s="5"/>
      <c r="C31" s="5"/>
      <c r="D31" s="5"/>
      <c r="E31" s="5"/>
      <c r="F31" s="5"/>
      <c r="G31" s="6" t="str">
        <f aca="false">IF(AND(ISNUMBER(B31),ISNUMBER(C31),C31&gt;0),B31/(C31/100)^2,"")</f>
        <v/>
      </c>
      <c r="H31" s="7" t="str">
        <f aca="false">IF(AND(ISNUMBER(D31),ISNUMBER(E31),E31&gt;0),D31/E31,"")</f>
        <v/>
      </c>
      <c r="I31" s="8"/>
    </row>
    <row r="32" customFormat="false" ht="15" hidden="false" customHeight="false" outlineLevel="0" collapsed="false">
      <c r="A32" s="4"/>
      <c r="B32" s="5"/>
      <c r="C32" s="5"/>
      <c r="D32" s="5"/>
      <c r="E32" s="5"/>
      <c r="F32" s="5"/>
      <c r="G32" s="6" t="str">
        <f aca="false">IF(AND(ISNUMBER(B32),ISNUMBER(C32),C32&gt;0),B32/(C32/100)^2,"")</f>
        <v/>
      </c>
      <c r="H32" s="7" t="str">
        <f aca="false">IF(AND(ISNUMBER(D32),ISNUMBER(E32),E32&gt;0),D32/E32,"")</f>
        <v/>
      </c>
      <c r="I32" s="8"/>
    </row>
    <row r="33" customFormat="false" ht="15" hidden="false" customHeight="false" outlineLevel="0" collapsed="false">
      <c r="A33" s="4"/>
      <c r="B33" s="5"/>
      <c r="C33" s="5"/>
      <c r="D33" s="5"/>
      <c r="E33" s="5"/>
      <c r="F33" s="5"/>
      <c r="G33" s="6" t="str">
        <f aca="false">IF(AND(ISNUMBER(B33),ISNUMBER(C33),C33&gt;0),B33/(C33/100)^2,"")</f>
        <v/>
      </c>
      <c r="H33" s="7" t="str">
        <f aca="false">IF(AND(ISNUMBER(D33),ISNUMBER(E33),E33&gt;0),D33/E33,"")</f>
        <v/>
      </c>
      <c r="I33" s="8"/>
    </row>
    <row r="34" customFormat="false" ht="15" hidden="false" customHeight="false" outlineLevel="0" collapsed="false">
      <c r="A34" s="4"/>
      <c r="B34" s="5"/>
      <c r="C34" s="5"/>
      <c r="D34" s="5"/>
      <c r="E34" s="5"/>
      <c r="F34" s="5"/>
      <c r="G34" s="6" t="str">
        <f aca="false">IF(AND(ISNUMBER(B34),ISNUMBER(C34),C34&gt;0),B34/(C34/100)^2,"")</f>
        <v/>
      </c>
      <c r="H34" s="7" t="str">
        <f aca="false">IF(AND(ISNUMBER(D34),ISNUMBER(E34),E34&gt;0),D34/E34,"")</f>
        <v/>
      </c>
      <c r="I34" s="8"/>
    </row>
    <row r="35" customFormat="false" ht="15" hidden="false" customHeight="false" outlineLevel="0" collapsed="false">
      <c r="A35" s="4"/>
      <c r="B35" s="5"/>
      <c r="C35" s="5"/>
      <c r="D35" s="5"/>
      <c r="E35" s="5"/>
      <c r="F35" s="5"/>
      <c r="G35" s="6" t="str">
        <f aca="false">IF(AND(ISNUMBER(B35),ISNUMBER(C35),C35&gt;0),B35/(C35/100)^2,"")</f>
        <v/>
      </c>
      <c r="H35" s="7" t="str">
        <f aca="false">IF(AND(ISNUMBER(D35),ISNUMBER(E35),E35&gt;0),D35/E35,"")</f>
        <v/>
      </c>
      <c r="I35" s="8"/>
    </row>
    <row r="36" customFormat="false" ht="15" hidden="false" customHeight="false" outlineLevel="0" collapsed="false">
      <c r="A36" s="4"/>
      <c r="B36" s="5"/>
      <c r="C36" s="5"/>
      <c r="D36" s="5"/>
      <c r="E36" s="5"/>
      <c r="F36" s="5"/>
      <c r="G36" s="6" t="str">
        <f aca="false">IF(AND(ISNUMBER(B36),ISNUMBER(C36),C36&gt;0),B36/(C36/100)^2,"")</f>
        <v/>
      </c>
      <c r="H36" s="7" t="str">
        <f aca="false">IF(AND(ISNUMBER(D36),ISNUMBER(E36),E36&gt;0),D36/E36,"")</f>
        <v/>
      </c>
      <c r="I36" s="8"/>
    </row>
    <row r="37" customFormat="false" ht="15" hidden="false" customHeight="false" outlineLevel="0" collapsed="false">
      <c r="A37" s="4"/>
      <c r="B37" s="5"/>
      <c r="C37" s="5"/>
      <c r="D37" s="5"/>
      <c r="E37" s="5"/>
      <c r="F37" s="5"/>
      <c r="G37" s="6" t="str">
        <f aca="false">IF(AND(ISNUMBER(B37),ISNUMBER(C37),C37&gt;0),B37/(C37/100)^2,"")</f>
        <v/>
      </c>
      <c r="H37" s="7" t="str">
        <f aca="false">IF(AND(ISNUMBER(D37),ISNUMBER(E37),E37&gt;0),D37/E37,"")</f>
        <v/>
      </c>
      <c r="I37" s="8"/>
    </row>
    <row r="38" customFormat="false" ht="15" hidden="false" customHeight="false" outlineLevel="0" collapsed="false">
      <c r="A38" s="4"/>
      <c r="B38" s="5"/>
      <c r="C38" s="5"/>
      <c r="D38" s="5"/>
      <c r="E38" s="5"/>
      <c r="F38" s="5"/>
      <c r="G38" s="6" t="str">
        <f aca="false">IF(AND(ISNUMBER(B38),ISNUMBER(C38),C38&gt;0),B38/(C38/100)^2,"")</f>
        <v/>
      </c>
      <c r="H38" s="7" t="str">
        <f aca="false">IF(AND(ISNUMBER(D38),ISNUMBER(E38),E38&gt;0),D38/E38,"")</f>
        <v/>
      </c>
      <c r="I38" s="8"/>
    </row>
    <row r="39" customFormat="false" ht="15" hidden="false" customHeight="false" outlineLevel="0" collapsed="false">
      <c r="A39" s="4"/>
      <c r="B39" s="5"/>
      <c r="C39" s="5"/>
      <c r="D39" s="5"/>
      <c r="E39" s="5"/>
      <c r="F39" s="5"/>
      <c r="G39" s="6" t="str">
        <f aca="false">IF(AND(ISNUMBER(B39),ISNUMBER(C39),C39&gt;0),B39/(C39/100)^2,"")</f>
        <v/>
      </c>
      <c r="H39" s="7" t="str">
        <f aca="false">IF(AND(ISNUMBER(D39),ISNUMBER(E39),E39&gt;0),D39/E39,"")</f>
        <v/>
      </c>
      <c r="I39" s="8"/>
    </row>
    <row r="40" customFormat="false" ht="15" hidden="false" customHeight="false" outlineLevel="0" collapsed="false">
      <c r="A40" s="4"/>
      <c r="B40" s="5"/>
      <c r="C40" s="5"/>
      <c r="D40" s="5"/>
      <c r="E40" s="5"/>
      <c r="F40" s="5"/>
      <c r="G40" s="6" t="str">
        <f aca="false">IF(AND(ISNUMBER(B40),ISNUMBER(C40),C40&gt;0),B40/(C40/100)^2,"")</f>
        <v/>
      </c>
      <c r="H40" s="7" t="str">
        <f aca="false">IF(AND(ISNUMBER(D40),ISNUMBER(E40),E40&gt;0),D40/E40,"")</f>
        <v/>
      </c>
      <c r="I40" s="8"/>
    </row>
    <row r="41" customFormat="false" ht="15" hidden="false" customHeight="false" outlineLevel="0" collapsed="false">
      <c r="A41" s="4"/>
      <c r="B41" s="5"/>
      <c r="C41" s="5"/>
      <c r="D41" s="5"/>
      <c r="E41" s="5"/>
      <c r="F41" s="5"/>
      <c r="G41" s="6" t="str">
        <f aca="false">IF(AND(ISNUMBER(B41),ISNUMBER(C41),C41&gt;0),B41/(C41/100)^2,"")</f>
        <v/>
      </c>
      <c r="H41" s="7" t="str">
        <f aca="false">IF(AND(ISNUMBER(D41),ISNUMBER(E41),E41&gt;0),D41/E41,"")</f>
        <v/>
      </c>
      <c r="I41" s="8"/>
    </row>
    <row r="42" customFormat="false" ht="15" hidden="false" customHeight="false" outlineLevel="0" collapsed="false">
      <c r="A42" s="4"/>
      <c r="B42" s="5"/>
      <c r="C42" s="5"/>
      <c r="D42" s="5"/>
      <c r="E42" s="5"/>
      <c r="F42" s="5"/>
      <c r="G42" s="6" t="str">
        <f aca="false">IF(AND(ISNUMBER(B42),ISNUMBER(C42),C42&gt;0),B42/(C42/100)^2,"")</f>
        <v/>
      </c>
      <c r="H42" s="7" t="str">
        <f aca="false">IF(AND(ISNUMBER(D42),ISNUMBER(E42),E42&gt;0),D42/E42,"")</f>
        <v/>
      </c>
      <c r="I42" s="8"/>
    </row>
    <row r="43" customFormat="false" ht="15" hidden="false" customHeight="false" outlineLevel="0" collapsed="false">
      <c r="A43" s="4"/>
      <c r="B43" s="5"/>
      <c r="C43" s="5"/>
      <c r="D43" s="5"/>
      <c r="E43" s="5"/>
      <c r="F43" s="5"/>
      <c r="G43" s="6" t="str">
        <f aca="false">IF(AND(ISNUMBER(B43),ISNUMBER(C43),C43&gt;0),B43/(C43/100)^2,"")</f>
        <v/>
      </c>
      <c r="H43" s="7" t="str">
        <f aca="false">IF(AND(ISNUMBER(D43),ISNUMBER(E43),E43&gt;0),D43/E43,"")</f>
        <v/>
      </c>
      <c r="I43" s="8"/>
    </row>
    <row r="44" customFormat="false" ht="15" hidden="false" customHeight="false" outlineLevel="0" collapsed="false">
      <c r="A44" s="4"/>
      <c r="B44" s="5"/>
      <c r="C44" s="5"/>
      <c r="D44" s="5"/>
      <c r="E44" s="5"/>
      <c r="F44" s="5"/>
      <c r="G44" s="6" t="str">
        <f aca="false">IF(AND(ISNUMBER(B44),ISNUMBER(C44),C44&gt;0),B44/(C44/100)^2,"")</f>
        <v/>
      </c>
      <c r="H44" s="7" t="str">
        <f aca="false">IF(AND(ISNUMBER(D44),ISNUMBER(E44),E44&gt;0),D44/E44,"")</f>
        <v/>
      </c>
      <c r="I44" s="8"/>
    </row>
    <row r="46" customFormat="false" ht="15" hidden="false" customHeight="false" outlineLevel="0" collapsed="false">
      <c r="A46" s="9" t="s">
        <v>12</v>
      </c>
      <c r="B46" s="10" t="str">
        <f aca="false">IF(COUNT(B5:B44)&gt;1,INDEX(B5:B44,MATCH(9.99E+307,B5:B44))-B5,"")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24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31.5" hidden="false" customHeight="true" outlineLevel="0" collapsed="false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</row>
    <row r="5" customFormat="false" ht="48" hidden="false" customHeight="true" outlineLevel="0" collapsed="false">
      <c r="A5" s="11" t="s">
        <v>23</v>
      </c>
      <c r="B5" s="12" t="s">
        <v>24</v>
      </c>
      <c r="C5" s="12"/>
      <c r="D5" s="12"/>
      <c r="E5" s="12"/>
      <c r="F5" s="12"/>
      <c r="G5" s="12"/>
      <c r="H5" s="12"/>
    </row>
    <row r="6" customFormat="false" ht="48" hidden="false" customHeight="true" outlineLevel="0" collapsed="false">
      <c r="A6" s="11" t="s">
        <v>25</v>
      </c>
      <c r="B6" s="12"/>
      <c r="C6" s="12"/>
      <c r="D6" s="12"/>
      <c r="E6" s="12"/>
      <c r="F6" s="12"/>
      <c r="G6" s="12"/>
      <c r="H6" s="12"/>
    </row>
    <row r="7" customFormat="false" ht="48" hidden="false" customHeight="true" outlineLevel="0" collapsed="false">
      <c r="A7" s="11" t="s">
        <v>26</v>
      </c>
      <c r="B7" s="12"/>
      <c r="C7" s="12"/>
      <c r="D7" s="12"/>
      <c r="E7" s="12"/>
      <c r="F7" s="12"/>
      <c r="G7" s="12"/>
      <c r="H7" s="12"/>
    </row>
    <row r="8" customFormat="false" ht="48" hidden="false" customHeight="true" outlineLevel="0" collapsed="false">
      <c r="A8" s="11" t="s">
        <v>27</v>
      </c>
      <c r="B8" s="12"/>
      <c r="C8" s="12"/>
      <c r="D8" s="12"/>
      <c r="E8" s="12"/>
      <c r="F8" s="12"/>
      <c r="G8" s="12"/>
      <c r="H8" s="12"/>
    </row>
    <row r="9" customFormat="false" ht="48" hidden="false" customHeight="true" outlineLevel="0" collapsed="false">
      <c r="A9" s="11" t="s">
        <v>28</v>
      </c>
      <c r="B9" s="12"/>
      <c r="C9" s="12"/>
      <c r="D9" s="12"/>
      <c r="E9" s="12"/>
      <c r="F9" s="12"/>
      <c r="G9" s="12"/>
      <c r="H9" s="12"/>
    </row>
    <row r="10" customFormat="false" ht="48" hidden="false" customHeight="true" outlineLevel="0" collapsed="false">
      <c r="A10" s="11" t="s">
        <v>29</v>
      </c>
      <c r="B10" s="12"/>
      <c r="C10" s="12"/>
      <c r="D10" s="12"/>
      <c r="E10" s="12"/>
      <c r="F10" s="12"/>
      <c r="G10" s="12"/>
      <c r="H10" s="12"/>
    </row>
    <row r="11" customFormat="false" ht="15" hidden="false" customHeight="false" outlineLevel="0" collapsed="false">
      <c r="A11" s="9" t="s">
        <v>30</v>
      </c>
      <c r="B11" s="13" t="n">
        <v>450</v>
      </c>
      <c r="C11" s="13"/>
      <c r="D11" s="13"/>
      <c r="E11" s="13"/>
      <c r="F11" s="13"/>
      <c r="G11" s="13"/>
      <c r="H11" s="13"/>
    </row>
    <row r="12" customFormat="false" ht="15" hidden="false" customHeight="false" outlineLevel="0" collapsed="false">
      <c r="A12" s="9" t="s">
        <v>31</v>
      </c>
      <c r="B12" s="14" t="n">
        <f aca="false">IF(COUNT(B11:H11)&gt;0,AVERAGE(B11:H11),"")</f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5" min="4" style="0" width="11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2" min="11" style="0" width="10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31.5" hidden="false" customHeight="true" outlineLevel="0" collapsed="false">
      <c r="A4" s="3" t="s">
        <v>34</v>
      </c>
      <c r="B4" s="3" t="s">
        <v>15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</row>
    <row r="5" customFormat="false" ht="15" hidden="false" customHeight="false" outlineLevel="0" collapsed="false">
      <c r="A5" s="8" t="n">
        <v>1</v>
      </c>
      <c r="B5" s="8" t="s">
        <v>23</v>
      </c>
      <c r="C5" s="8" t="s">
        <v>45</v>
      </c>
      <c r="D5" s="5" t="n">
        <v>30</v>
      </c>
      <c r="E5" s="5" t="n">
        <v>265</v>
      </c>
      <c r="F5" s="5" t="n">
        <v>15</v>
      </c>
      <c r="G5" s="5" t="n">
        <v>2</v>
      </c>
      <c r="H5" s="5" t="n">
        <v>21</v>
      </c>
      <c r="I5" s="6" t="n">
        <f aca="false">IF(ISNUMBER($D5),$D5*E5/100,"")</f>
        <v>79.5</v>
      </c>
      <c r="J5" s="6" t="n">
        <f aca="false">IF(ISNUMBER($D5),$D5*F5/100,"")</f>
        <v>4.5</v>
      </c>
      <c r="K5" s="6" t="n">
        <f aca="false">IF(ISNUMBER($D5),$D5*G5/100,"")</f>
        <v>0.6</v>
      </c>
      <c r="L5" s="6" t="n">
        <f aca="false">IF(ISNUMBER($D5),$D5*H5/100,"")</f>
        <v>6.3</v>
      </c>
    </row>
    <row r="6" customFormat="false" ht="15" hidden="false" customHeight="false" outlineLevel="0" collapsed="false">
      <c r="A6" s="8"/>
      <c r="B6" s="8"/>
      <c r="C6" s="8"/>
      <c r="D6" s="5"/>
      <c r="E6" s="5"/>
      <c r="F6" s="5"/>
      <c r="G6" s="5"/>
      <c r="H6" s="5"/>
      <c r="I6" s="6" t="str">
        <f aca="false">IF(ISNUMBER($D6),$D6*E6/100,"")</f>
        <v/>
      </c>
      <c r="J6" s="6" t="str">
        <f aca="false">IF(ISNUMBER($D6),$D6*F6/100,"")</f>
        <v/>
      </c>
      <c r="K6" s="6" t="str">
        <f aca="false">IF(ISNUMBER($D6),$D6*G6/100,"")</f>
        <v/>
      </c>
      <c r="L6" s="6" t="str">
        <f aca="false">IF(ISNUMBER($D6),$D6*H6/100,"")</f>
        <v/>
      </c>
    </row>
    <row r="7" customFormat="false" ht="15" hidden="false" customHeight="false" outlineLevel="0" collapsed="false">
      <c r="A7" s="8"/>
      <c r="B7" s="8"/>
      <c r="C7" s="8"/>
      <c r="D7" s="5"/>
      <c r="E7" s="5"/>
      <c r="F7" s="5"/>
      <c r="G7" s="5"/>
      <c r="H7" s="5"/>
      <c r="I7" s="6" t="str">
        <f aca="false">IF(ISNUMBER($D7),$D7*E7/100,"")</f>
        <v/>
      </c>
      <c r="J7" s="6" t="str">
        <f aca="false">IF(ISNUMBER($D7),$D7*F7/100,"")</f>
        <v/>
      </c>
      <c r="K7" s="6" t="str">
        <f aca="false">IF(ISNUMBER($D7),$D7*G7/100,"")</f>
        <v/>
      </c>
      <c r="L7" s="6" t="str">
        <f aca="false">IF(ISNUMBER($D7),$D7*H7/100,"")</f>
        <v/>
      </c>
    </row>
    <row r="8" customFormat="false" ht="15" hidden="false" customHeight="false" outlineLevel="0" collapsed="false">
      <c r="A8" s="8"/>
      <c r="B8" s="8"/>
      <c r="C8" s="8"/>
      <c r="D8" s="5"/>
      <c r="E8" s="5"/>
      <c r="F8" s="5"/>
      <c r="G8" s="5"/>
      <c r="H8" s="5"/>
      <c r="I8" s="6" t="str">
        <f aca="false">IF(ISNUMBER($D8),$D8*E8/100,"")</f>
        <v/>
      </c>
      <c r="J8" s="6" t="str">
        <f aca="false">IF(ISNUMBER($D8),$D8*F8/100,"")</f>
        <v/>
      </c>
      <c r="K8" s="6" t="str">
        <f aca="false">IF(ISNUMBER($D8),$D8*G8/100,"")</f>
        <v/>
      </c>
      <c r="L8" s="6" t="str">
        <f aca="false">IF(ISNUMBER($D8),$D8*H8/100,"")</f>
        <v/>
      </c>
    </row>
    <row r="9" customFormat="false" ht="15" hidden="false" customHeight="false" outlineLevel="0" collapsed="false">
      <c r="A9" s="8"/>
      <c r="B9" s="8"/>
      <c r="C9" s="8"/>
      <c r="D9" s="5"/>
      <c r="E9" s="5"/>
      <c r="F9" s="5"/>
      <c r="G9" s="5"/>
      <c r="H9" s="5"/>
      <c r="I9" s="6" t="str">
        <f aca="false">IF(ISNUMBER($D9),$D9*E9/100,"")</f>
        <v/>
      </c>
      <c r="J9" s="6" t="str">
        <f aca="false">IF(ISNUMBER($D9),$D9*F9/100,"")</f>
        <v/>
      </c>
      <c r="K9" s="6" t="str">
        <f aca="false">IF(ISNUMBER($D9),$D9*G9/100,"")</f>
        <v/>
      </c>
      <c r="L9" s="6" t="str">
        <f aca="false">IF(ISNUMBER($D9),$D9*H9/100,"")</f>
        <v/>
      </c>
    </row>
    <row r="10" customFormat="false" ht="15" hidden="false" customHeight="false" outlineLevel="0" collapsed="false">
      <c r="A10" s="8"/>
      <c r="B10" s="8"/>
      <c r="C10" s="8"/>
      <c r="D10" s="5"/>
      <c r="E10" s="5"/>
      <c r="F10" s="5"/>
      <c r="G10" s="5"/>
      <c r="H10" s="5"/>
      <c r="I10" s="6" t="str">
        <f aca="false">IF(ISNUMBER($D10),$D10*E10/100,"")</f>
        <v/>
      </c>
      <c r="J10" s="6" t="str">
        <f aca="false">IF(ISNUMBER($D10),$D10*F10/100,"")</f>
        <v/>
      </c>
      <c r="K10" s="6" t="str">
        <f aca="false">IF(ISNUMBER($D10),$D10*G10/100,"")</f>
        <v/>
      </c>
      <c r="L10" s="6" t="str">
        <f aca="false">IF(ISNUMBER($D10),$D10*H10/100,"")</f>
        <v/>
      </c>
    </row>
    <row r="11" customFormat="false" ht="15" hidden="false" customHeight="false" outlineLevel="0" collapsed="false">
      <c r="A11" s="8"/>
      <c r="B11" s="8"/>
      <c r="C11" s="8"/>
      <c r="D11" s="5"/>
      <c r="E11" s="5"/>
      <c r="F11" s="5"/>
      <c r="G11" s="5"/>
      <c r="H11" s="5"/>
      <c r="I11" s="6" t="str">
        <f aca="false">IF(ISNUMBER($D11),$D11*E11/100,"")</f>
        <v/>
      </c>
      <c r="J11" s="6" t="str">
        <f aca="false">IF(ISNUMBER($D11),$D11*F11/100,"")</f>
        <v/>
      </c>
      <c r="K11" s="6" t="str">
        <f aca="false">IF(ISNUMBER($D11),$D11*G11/100,"")</f>
        <v/>
      </c>
      <c r="L11" s="6" t="str">
        <f aca="false">IF(ISNUMBER($D11),$D11*H11/100,"")</f>
        <v/>
      </c>
    </row>
    <row r="12" customFormat="false" ht="15" hidden="false" customHeight="false" outlineLevel="0" collapsed="false">
      <c r="A12" s="8"/>
      <c r="B12" s="8"/>
      <c r="C12" s="8"/>
      <c r="D12" s="5"/>
      <c r="E12" s="5"/>
      <c r="F12" s="5"/>
      <c r="G12" s="5"/>
      <c r="H12" s="5"/>
      <c r="I12" s="6" t="str">
        <f aca="false">IF(ISNUMBER($D12),$D12*E12/100,"")</f>
        <v/>
      </c>
      <c r="J12" s="6" t="str">
        <f aca="false">IF(ISNUMBER($D12),$D12*F12/100,"")</f>
        <v/>
      </c>
      <c r="K12" s="6" t="str">
        <f aca="false">IF(ISNUMBER($D12),$D12*G12/100,"")</f>
        <v/>
      </c>
      <c r="L12" s="6" t="str">
        <f aca="false">IF(ISNUMBER($D12),$D12*H12/100,"")</f>
        <v/>
      </c>
    </row>
    <row r="13" customFormat="false" ht="15" hidden="false" customHeight="false" outlineLevel="0" collapsed="false">
      <c r="A13" s="8"/>
      <c r="B13" s="8"/>
      <c r="C13" s="8"/>
      <c r="D13" s="5"/>
      <c r="E13" s="5"/>
      <c r="F13" s="5"/>
      <c r="G13" s="5"/>
      <c r="H13" s="5"/>
      <c r="I13" s="6" t="str">
        <f aca="false">IF(ISNUMBER($D13),$D13*E13/100,"")</f>
        <v/>
      </c>
      <c r="J13" s="6" t="str">
        <f aca="false">IF(ISNUMBER($D13),$D13*F13/100,"")</f>
        <v/>
      </c>
      <c r="K13" s="6" t="str">
        <f aca="false">IF(ISNUMBER($D13),$D13*G13/100,"")</f>
        <v/>
      </c>
      <c r="L13" s="6" t="str">
        <f aca="false">IF(ISNUMBER($D13),$D13*H13/100,"")</f>
        <v/>
      </c>
    </row>
    <row r="14" customFormat="false" ht="15" hidden="false" customHeight="false" outlineLevel="0" collapsed="false">
      <c r="A14" s="8"/>
      <c r="B14" s="8"/>
      <c r="C14" s="8"/>
      <c r="D14" s="5"/>
      <c r="E14" s="5"/>
      <c r="F14" s="5"/>
      <c r="G14" s="5"/>
      <c r="H14" s="5"/>
      <c r="I14" s="6" t="str">
        <f aca="false">IF(ISNUMBER($D14),$D14*E14/100,"")</f>
        <v/>
      </c>
      <c r="J14" s="6" t="str">
        <f aca="false">IF(ISNUMBER($D14),$D14*F14/100,"")</f>
        <v/>
      </c>
      <c r="K14" s="6" t="str">
        <f aca="false">IF(ISNUMBER($D14),$D14*G14/100,"")</f>
        <v/>
      </c>
      <c r="L14" s="6" t="str">
        <f aca="false">IF(ISNUMBER($D14),$D14*H14/100,"")</f>
        <v/>
      </c>
    </row>
    <row r="15" customFormat="false" ht="15" hidden="false" customHeight="false" outlineLevel="0" collapsed="false">
      <c r="A15" s="8"/>
      <c r="B15" s="8"/>
      <c r="C15" s="8"/>
      <c r="D15" s="5"/>
      <c r="E15" s="5"/>
      <c r="F15" s="5"/>
      <c r="G15" s="5"/>
      <c r="H15" s="5"/>
      <c r="I15" s="6" t="str">
        <f aca="false">IF(ISNUMBER($D15),$D15*E15/100,"")</f>
        <v/>
      </c>
      <c r="J15" s="6" t="str">
        <f aca="false">IF(ISNUMBER($D15),$D15*F15/100,"")</f>
        <v/>
      </c>
      <c r="K15" s="6" t="str">
        <f aca="false">IF(ISNUMBER($D15),$D15*G15/100,"")</f>
        <v/>
      </c>
      <c r="L15" s="6" t="str">
        <f aca="false">IF(ISNUMBER($D15),$D15*H15/100,"")</f>
        <v/>
      </c>
    </row>
    <row r="16" customFormat="false" ht="15" hidden="false" customHeight="false" outlineLevel="0" collapsed="false">
      <c r="A16" s="8"/>
      <c r="B16" s="8"/>
      <c r="C16" s="8"/>
      <c r="D16" s="5"/>
      <c r="E16" s="5"/>
      <c r="F16" s="5"/>
      <c r="G16" s="5"/>
      <c r="H16" s="5"/>
      <c r="I16" s="6" t="str">
        <f aca="false">IF(ISNUMBER($D16),$D16*E16/100,"")</f>
        <v/>
      </c>
      <c r="J16" s="6" t="str">
        <f aca="false">IF(ISNUMBER($D16),$D16*F16/100,"")</f>
        <v/>
      </c>
      <c r="K16" s="6" t="str">
        <f aca="false">IF(ISNUMBER($D16),$D16*G16/100,"")</f>
        <v/>
      </c>
      <c r="L16" s="6" t="str">
        <f aca="false">IF(ISNUMBER($D16),$D16*H16/100,"")</f>
        <v/>
      </c>
    </row>
    <row r="17" customFormat="false" ht="15" hidden="false" customHeight="false" outlineLevel="0" collapsed="false">
      <c r="A17" s="8"/>
      <c r="B17" s="8"/>
      <c r="C17" s="8"/>
      <c r="D17" s="5"/>
      <c r="E17" s="5"/>
      <c r="F17" s="5"/>
      <c r="G17" s="5"/>
      <c r="H17" s="5"/>
      <c r="I17" s="6" t="str">
        <f aca="false">IF(ISNUMBER($D17),$D17*E17/100,"")</f>
        <v/>
      </c>
      <c r="J17" s="6" t="str">
        <f aca="false">IF(ISNUMBER($D17),$D17*F17/100,"")</f>
        <v/>
      </c>
      <c r="K17" s="6" t="str">
        <f aca="false">IF(ISNUMBER($D17),$D17*G17/100,"")</f>
        <v/>
      </c>
      <c r="L17" s="6" t="str">
        <f aca="false">IF(ISNUMBER($D17),$D17*H17/100,"")</f>
        <v/>
      </c>
    </row>
    <row r="18" customFormat="false" ht="15" hidden="false" customHeight="false" outlineLevel="0" collapsed="false">
      <c r="A18" s="8"/>
      <c r="B18" s="8"/>
      <c r="C18" s="8"/>
      <c r="D18" s="5"/>
      <c r="E18" s="5"/>
      <c r="F18" s="5"/>
      <c r="G18" s="5"/>
      <c r="H18" s="5"/>
      <c r="I18" s="6" t="str">
        <f aca="false">IF(ISNUMBER($D18),$D18*E18/100,"")</f>
        <v/>
      </c>
      <c r="J18" s="6" t="str">
        <f aca="false">IF(ISNUMBER($D18),$D18*F18/100,"")</f>
        <v/>
      </c>
      <c r="K18" s="6" t="str">
        <f aca="false">IF(ISNUMBER($D18),$D18*G18/100,"")</f>
        <v/>
      </c>
      <c r="L18" s="6" t="str">
        <f aca="false">IF(ISNUMBER($D18),$D18*H18/100,"")</f>
        <v/>
      </c>
    </row>
    <row r="19" customFormat="false" ht="15" hidden="false" customHeight="false" outlineLevel="0" collapsed="false">
      <c r="A19" s="8"/>
      <c r="B19" s="8"/>
      <c r="C19" s="8"/>
      <c r="D19" s="5"/>
      <c r="E19" s="5"/>
      <c r="F19" s="5"/>
      <c r="G19" s="5"/>
      <c r="H19" s="5"/>
      <c r="I19" s="6" t="str">
        <f aca="false">IF(ISNUMBER($D19),$D19*E19/100,"")</f>
        <v/>
      </c>
      <c r="J19" s="6" t="str">
        <f aca="false">IF(ISNUMBER($D19),$D19*F19/100,"")</f>
        <v/>
      </c>
      <c r="K19" s="6" t="str">
        <f aca="false">IF(ISNUMBER($D19),$D19*G19/100,"")</f>
        <v/>
      </c>
      <c r="L19" s="6" t="str">
        <f aca="false">IF(ISNUMBER($D19),$D19*H19/100,"")</f>
        <v/>
      </c>
    </row>
    <row r="20" customFormat="false" ht="15" hidden="false" customHeight="false" outlineLevel="0" collapsed="false">
      <c r="A20" s="8"/>
      <c r="B20" s="8"/>
      <c r="C20" s="8"/>
      <c r="D20" s="5"/>
      <c r="E20" s="5"/>
      <c r="F20" s="5"/>
      <c r="G20" s="5"/>
      <c r="H20" s="5"/>
      <c r="I20" s="6" t="str">
        <f aca="false">IF(ISNUMBER($D20),$D20*E20/100,"")</f>
        <v/>
      </c>
      <c r="J20" s="6" t="str">
        <f aca="false">IF(ISNUMBER($D20),$D20*F20/100,"")</f>
        <v/>
      </c>
      <c r="K20" s="6" t="str">
        <f aca="false">IF(ISNUMBER($D20),$D20*G20/100,"")</f>
        <v/>
      </c>
      <c r="L20" s="6" t="str">
        <f aca="false">IF(ISNUMBER($D20),$D20*H20/100,"")</f>
        <v/>
      </c>
    </row>
    <row r="21" customFormat="false" ht="15" hidden="false" customHeight="false" outlineLevel="0" collapsed="false">
      <c r="A21" s="8"/>
      <c r="B21" s="8"/>
      <c r="C21" s="8"/>
      <c r="D21" s="5"/>
      <c r="E21" s="5"/>
      <c r="F21" s="5"/>
      <c r="G21" s="5"/>
      <c r="H21" s="5"/>
      <c r="I21" s="6" t="str">
        <f aca="false">IF(ISNUMBER($D21),$D21*E21/100,"")</f>
        <v/>
      </c>
      <c r="J21" s="6" t="str">
        <f aca="false">IF(ISNUMBER($D21),$D21*F21/100,"")</f>
        <v/>
      </c>
      <c r="K21" s="6" t="str">
        <f aca="false">IF(ISNUMBER($D21),$D21*G21/100,"")</f>
        <v/>
      </c>
      <c r="L21" s="6" t="str">
        <f aca="false">IF(ISNUMBER($D21),$D21*H21/100,"")</f>
        <v/>
      </c>
    </row>
    <row r="22" customFormat="false" ht="15" hidden="false" customHeight="false" outlineLevel="0" collapsed="false">
      <c r="A22" s="8"/>
      <c r="B22" s="8"/>
      <c r="C22" s="8"/>
      <c r="D22" s="5"/>
      <c r="E22" s="5"/>
      <c r="F22" s="5"/>
      <c r="G22" s="5"/>
      <c r="H22" s="5"/>
      <c r="I22" s="6" t="str">
        <f aca="false">IF(ISNUMBER($D22),$D22*E22/100,"")</f>
        <v/>
      </c>
      <c r="J22" s="6" t="str">
        <f aca="false">IF(ISNUMBER($D22),$D22*F22/100,"")</f>
        <v/>
      </c>
      <c r="K22" s="6" t="str">
        <f aca="false">IF(ISNUMBER($D22),$D22*G22/100,"")</f>
        <v/>
      </c>
      <c r="L22" s="6" t="str">
        <f aca="false">IF(ISNUMBER($D22),$D22*H22/100,"")</f>
        <v/>
      </c>
    </row>
    <row r="23" customFormat="false" ht="15" hidden="false" customHeight="false" outlineLevel="0" collapsed="false">
      <c r="A23" s="8"/>
      <c r="B23" s="8"/>
      <c r="C23" s="8"/>
      <c r="D23" s="5"/>
      <c r="E23" s="5"/>
      <c r="F23" s="5"/>
      <c r="G23" s="5"/>
      <c r="H23" s="5"/>
      <c r="I23" s="6" t="str">
        <f aca="false">IF(ISNUMBER($D23),$D23*E23/100,"")</f>
        <v/>
      </c>
      <c r="J23" s="6" t="str">
        <f aca="false">IF(ISNUMBER($D23),$D23*F23/100,"")</f>
        <v/>
      </c>
      <c r="K23" s="6" t="str">
        <f aca="false">IF(ISNUMBER($D23),$D23*G23/100,"")</f>
        <v/>
      </c>
      <c r="L23" s="6" t="str">
        <f aca="false">IF(ISNUMBER($D23),$D23*H23/100,"")</f>
        <v/>
      </c>
    </row>
    <row r="24" customFormat="false" ht="15" hidden="false" customHeight="false" outlineLevel="0" collapsed="false">
      <c r="A24" s="8"/>
      <c r="B24" s="8"/>
      <c r="C24" s="8"/>
      <c r="D24" s="5"/>
      <c r="E24" s="5"/>
      <c r="F24" s="5"/>
      <c r="G24" s="5"/>
      <c r="H24" s="5"/>
      <c r="I24" s="6" t="str">
        <f aca="false">IF(ISNUMBER($D24),$D24*E24/100,"")</f>
        <v/>
      </c>
      <c r="J24" s="6" t="str">
        <f aca="false">IF(ISNUMBER($D24),$D24*F24/100,"")</f>
        <v/>
      </c>
      <c r="K24" s="6" t="str">
        <f aca="false">IF(ISNUMBER($D24),$D24*G24/100,"")</f>
        <v/>
      </c>
      <c r="L24" s="6" t="str">
        <f aca="false">IF(ISNUMBER($D24),$D24*H24/100,"")</f>
        <v/>
      </c>
    </row>
    <row r="25" customFormat="false" ht="15" hidden="false" customHeight="false" outlineLevel="0" collapsed="false">
      <c r="A25" s="8"/>
      <c r="B25" s="8"/>
      <c r="C25" s="8"/>
      <c r="D25" s="5"/>
      <c r="E25" s="5"/>
      <c r="F25" s="5"/>
      <c r="G25" s="5"/>
      <c r="H25" s="5"/>
      <c r="I25" s="6" t="str">
        <f aca="false">IF(ISNUMBER($D25),$D25*E25/100,"")</f>
        <v/>
      </c>
      <c r="J25" s="6" t="str">
        <f aca="false">IF(ISNUMBER($D25),$D25*F25/100,"")</f>
        <v/>
      </c>
      <c r="K25" s="6" t="str">
        <f aca="false">IF(ISNUMBER($D25),$D25*G25/100,"")</f>
        <v/>
      </c>
      <c r="L25" s="6" t="str">
        <f aca="false">IF(ISNUMBER($D25),$D25*H25/100,"")</f>
        <v/>
      </c>
    </row>
    <row r="26" customFormat="false" ht="15" hidden="false" customHeight="false" outlineLevel="0" collapsed="false">
      <c r="A26" s="8"/>
      <c r="B26" s="8"/>
      <c r="C26" s="8"/>
      <c r="D26" s="5"/>
      <c r="E26" s="5"/>
      <c r="F26" s="5"/>
      <c r="G26" s="5"/>
      <c r="H26" s="5"/>
      <c r="I26" s="6" t="str">
        <f aca="false">IF(ISNUMBER($D26),$D26*E26/100,"")</f>
        <v/>
      </c>
      <c r="J26" s="6" t="str">
        <f aca="false">IF(ISNUMBER($D26),$D26*F26/100,"")</f>
        <v/>
      </c>
      <c r="K26" s="6" t="str">
        <f aca="false">IF(ISNUMBER($D26),$D26*G26/100,"")</f>
        <v/>
      </c>
      <c r="L26" s="6" t="str">
        <f aca="false">IF(ISNUMBER($D26),$D26*H26/100,"")</f>
        <v/>
      </c>
    </row>
    <row r="27" customFormat="false" ht="15" hidden="false" customHeight="false" outlineLevel="0" collapsed="false">
      <c r="A27" s="8"/>
      <c r="B27" s="8"/>
      <c r="C27" s="8"/>
      <c r="D27" s="5"/>
      <c r="E27" s="5"/>
      <c r="F27" s="5"/>
      <c r="G27" s="5"/>
      <c r="H27" s="5"/>
      <c r="I27" s="6" t="str">
        <f aca="false">IF(ISNUMBER($D27),$D27*E27/100,"")</f>
        <v/>
      </c>
      <c r="J27" s="6" t="str">
        <f aca="false">IF(ISNUMBER($D27),$D27*F27/100,"")</f>
        <v/>
      </c>
      <c r="K27" s="6" t="str">
        <f aca="false">IF(ISNUMBER($D27),$D27*G27/100,"")</f>
        <v/>
      </c>
      <c r="L27" s="6" t="str">
        <f aca="false">IF(ISNUMBER($D27),$D27*H27/100,"")</f>
        <v/>
      </c>
    </row>
    <row r="28" customFormat="false" ht="15" hidden="false" customHeight="false" outlineLevel="0" collapsed="false">
      <c r="A28" s="8"/>
      <c r="B28" s="8"/>
      <c r="C28" s="8"/>
      <c r="D28" s="5"/>
      <c r="E28" s="5"/>
      <c r="F28" s="5"/>
      <c r="G28" s="5"/>
      <c r="H28" s="5"/>
      <c r="I28" s="6" t="str">
        <f aca="false">IF(ISNUMBER($D28),$D28*E28/100,"")</f>
        <v/>
      </c>
      <c r="J28" s="6" t="str">
        <f aca="false">IF(ISNUMBER($D28),$D28*F28/100,"")</f>
        <v/>
      </c>
      <c r="K28" s="6" t="str">
        <f aca="false">IF(ISNUMBER($D28),$D28*G28/100,"")</f>
        <v/>
      </c>
      <c r="L28" s="6" t="str">
        <f aca="false">IF(ISNUMBER($D28),$D28*H28/100,"")</f>
        <v/>
      </c>
    </row>
    <row r="29" customFormat="false" ht="15" hidden="false" customHeight="false" outlineLevel="0" collapsed="false">
      <c r="A29" s="8"/>
      <c r="B29" s="8"/>
      <c r="C29" s="8"/>
      <c r="D29" s="5"/>
      <c r="E29" s="5"/>
      <c r="F29" s="5"/>
      <c r="G29" s="5"/>
      <c r="H29" s="5"/>
      <c r="I29" s="6" t="str">
        <f aca="false">IF(ISNUMBER($D29),$D29*E29/100,"")</f>
        <v/>
      </c>
      <c r="J29" s="6" t="str">
        <f aca="false">IF(ISNUMBER($D29),$D29*F29/100,"")</f>
        <v/>
      </c>
      <c r="K29" s="6" t="str">
        <f aca="false">IF(ISNUMBER($D29),$D29*G29/100,"")</f>
        <v/>
      </c>
      <c r="L29" s="6" t="str">
        <f aca="false">IF(ISNUMBER($D29),$D29*H29/100,"")</f>
        <v/>
      </c>
    </row>
    <row r="30" customFormat="false" ht="15" hidden="false" customHeight="false" outlineLevel="0" collapsed="false">
      <c r="A30" s="8"/>
      <c r="B30" s="8"/>
      <c r="C30" s="8"/>
      <c r="D30" s="5"/>
      <c r="E30" s="5"/>
      <c r="F30" s="5"/>
      <c r="G30" s="5"/>
      <c r="H30" s="5"/>
      <c r="I30" s="6" t="str">
        <f aca="false">IF(ISNUMBER($D30),$D30*E30/100,"")</f>
        <v/>
      </c>
      <c r="J30" s="6" t="str">
        <f aca="false">IF(ISNUMBER($D30),$D30*F30/100,"")</f>
        <v/>
      </c>
      <c r="K30" s="6" t="str">
        <f aca="false">IF(ISNUMBER($D30),$D30*G30/100,"")</f>
        <v/>
      </c>
      <c r="L30" s="6" t="str">
        <f aca="false">IF(ISNUMBER($D30),$D30*H30/100,"")</f>
        <v/>
      </c>
    </row>
    <row r="31" customFormat="false" ht="15" hidden="false" customHeight="false" outlineLevel="0" collapsed="false">
      <c r="A31" s="8"/>
      <c r="B31" s="8"/>
      <c r="C31" s="8"/>
      <c r="D31" s="5"/>
      <c r="E31" s="5"/>
      <c r="F31" s="5"/>
      <c r="G31" s="5"/>
      <c r="H31" s="5"/>
      <c r="I31" s="6" t="str">
        <f aca="false">IF(ISNUMBER($D31),$D31*E31/100,"")</f>
        <v/>
      </c>
      <c r="J31" s="6" t="str">
        <f aca="false">IF(ISNUMBER($D31),$D31*F31/100,"")</f>
        <v/>
      </c>
      <c r="K31" s="6" t="str">
        <f aca="false">IF(ISNUMBER($D31),$D31*G31/100,"")</f>
        <v/>
      </c>
      <c r="L31" s="6" t="str">
        <f aca="false">IF(ISNUMBER($D31),$D31*H31/100,"")</f>
        <v/>
      </c>
    </row>
    <row r="32" customFormat="false" ht="15" hidden="false" customHeight="false" outlineLevel="0" collapsed="false">
      <c r="A32" s="8"/>
      <c r="B32" s="8"/>
      <c r="C32" s="8"/>
      <c r="D32" s="5"/>
      <c r="E32" s="5"/>
      <c r="F32" s="5"/>
      <c r="G32" s="5"/>
      <c r="H32" s="5"/>
      <c r="I32" s="6" t="str">
        <f aca="false">IF(ISNUMBER($D32),$D32*E32/100,"")</f>
        <v/>
      </c>
      <c r="J32" s="6" t="str">
        <f aca="false">IF(ISNUMBER($D32),$D32*F32/100,"")</f>
        <v/>
      </c>
      <c r="K32" s="6" t="str">
        <f aca="false">IF(ISNUMBER($D32),$D32*G32/100,"")</f>
        <v/>
      </c>
      <c r="L32" s="6" t="str">
        <f aca="false">IF(ISNUMBER($D32),$D32*H32/100,"")</f>
        <v/>
      </c>
    </row>
    <row r="33" customFormat="false" ht="15" hidden="false" customHeight="false" outlineLevel="0" collapsed="false">
      <c r="A33" s="8"/>
      <c r="B33" s="8"/>
      <c r="C33" s="8"/>
      <c r="D33" s="5"/>
      <c r="E33" s="5"/>
      <c r="F33" s="5"/>
      <c r="G33" s="5"/>
      <c r="H33" s="5"/>
      <c r="I33" s="6" t="str">
        <f aca="false">IF(ISNUMBER($D33),$D33*E33/100,"")</f>
        <v/>
      </c>
      <c r="J33" s="6" t="str">
        <f aca="false">IF(ISNUMBER($D33),$D33*F33/100,"")</f>
        <v/>
      </c>
      <c r="K33" s="6" t="str">
        <f aca="false">IF(ISNUMBER($D33),$D33*G33/100,"")</f>
        <v/>
      </c>
      <c r="L33" s="6" t="str">
        <f aca="false">IF(ISNUMBER($D33),$D33*H33/100,"")</f>
        <v/>
      </c>
    </row>
    <row r="34" customFormat="false" ht="15" hidden="false" customHeight="false" outlineLevel="0" collapsed="false">
      <c r="A34" s="8"/>
      <c r="B34" s="8"/>
      <c r="C34" s="8"/>
      <c r="D34" s="5"/>
      <c r="E34" s="5"/>
      <c r="F34" s="5"/>
      <c r="G34" s="5"/>
      <c r="H34" s="5"/>
      <c r="I34" s="6" t="str">
        <f aca="false">IF(ISNUMBER($D34),$D34*E34/100,"")</f>
        <v/>
      </c>
      <c r="J34" s="6" t="str">
        <f aca="false">IF(ISNUMBER($D34),$D34*F34/100,"")</f>
        <v/>
      </c>
      <c r="K34" s="6" t="str">
        <f aca="false">IF(ISNUMBER($D34),$D34*G34/100,"")</f>
        <v/>
      </c>
      <c r="L34" s="6" t="str">
        <f aca="false">IF(ISNUMBER($D34),$D34*H34/100,"")</f>
        <v/>
      </c>
    </row>
    <row r="35" customFormat="false" ht="15" hidden="false" customHeight="false" outlineLevel="0" collapsed="false">
      <c r="A35" s="8"/>
      <c r="B35" s="8"/>
      <c r="C35" s="8"/>
      <c r="D35" s="5"/>
      <c r="E35" s="5"/>
      <c r="F35" s="5"/>
      <c r="G35" s="5"/>
      <c r="H35" s="5"/>
      <c r="I35" s="6" t="str">
        <f aca="false">IF(ISNUMBER($D35),$D35*E35/100,"")</f>
        <v/>
      </c>
      <c r="J35" s="6" t="str">
        <f aca="false">IF(ISNUMBER($D35),$D35*F35/100,"")</f>
        <v/>
      </c>
      <c r="K35" s="6" t="str">
        <f aca="false">IF(ISNUMBER($D35),$D35*G35/100,"")</f>
        <v/>
      </c>
      <c r="L35" s="6" t="str">
        <f aca="false">IF(ISNUMBER($D35),$D35*H35/100,"")</f>
        <v/>
      </c>
    </row>
    <row r="36" customFormat="false" ht="15" hidden="false" customHeight="false" outlineLevel="0" collapsed="false">
      <c r="A36" s="8"/>
      <c r="B36" s="8"/>
      <c r="C36" s="8"/>
      <c r="D36" s="5"/>
      <c r="E36" s="5"/>
      <c r="F36" s="5"/>
      <c r="G36" s="5"/>
      <c r="H36" s="5"/>
      <c r="I36" s="6" t="str">
        <f aca="false">IF(ISNUMBER($D36),$D36*E36/100,"")</f>
        <v/>
      </c>
      <c r="J36" s="6" t="str">
        <f aca="false">IF(ISNUMBER($D36),$D36*F36/100,"")</f>
        <v/>
      </c>
      <c r="K36" s="6" t="str">
        <f aca="false">IF(ISNUMBER($D36),$D36*G36/100,"")</f>
        <v/>
      </c>
      <c r="L36" s="6" t="str">
        <f aca="false">IF(ISNUMBER($D36),$D36*H36/100,"")</f>
        <v/>
      </c>
    </row>
    <row r="37" customFormat="false" ht="15" hidden="false" customHeight="false" outlineLevel="0" collapsed="false">
      <c r="A37" s="8"/>
      <c r="B37" s="8"/>
      <c r="C37" s="8"/>
      <c r="D37" s="5"/>
      <c r="E37" s="5"/>
      <c r="F37" s="5"/>
      <c r="G37" s="5"/>
      <c r="H37" s="5"/>
      <c r="I37" s="6" t="str">
        <f aca="false">IF(ISNUMBER($D37),$D37*E37/100,"")</f>
        <v/>
      </c>
      <c r="J37" s="6" t="str">
        <f aca="false">IF(ISNUMBER($D37),$D37*F37/100,"")</f>
        <v/>
      </c>
      <c r="K37" s="6" t="str">
        <f aca="false">IF(ISNUMBER($D37),$D37*G37/100,"")</f>
        <v/>
      </c>
      <c r="L37" s="6" t="str">
        <f aca="false">IF(ISNUMBER($D37),$D37*H37/100,"")</f>
        <v/>
      </c>
    </row>
    <row r="38" customFormat="false" ht="15" hidden="false" customHeight="false" outlineLevel="0" collapsed="false">
      <c r="A38" s="8"/>
      <c r="B38" s="8"/>
      <c r="C38" s="8"/>
      <c r="D38" s="5"/>
      <c r="E38" s="5"/>
      <c r="F38" s="5"/>
      <c r="G38" s="5"/>
      <c r="H38" s="5"/>
      <c r="I38" s="6" t="str">
        <f aca="false">IF(ISNUMBER($D38),$D38*E38/100,"")</f>
        <v/>
      </c>
      <c r="J38" s="6" t="str">
        <f aca="false">IF(ISNUMBER($D38),$D38*F38/100,"")</f>
        <v/>
      </c>
      <c r="K38" s="6" t="str">
        <f aca="false">IF(ISNUMBER($D38),$D38*G38/100,"")</f>
        <v/>
      </c>
      <c r="L38" s="6" t="str">
        <f aca="false">IF(ISNUMBER($D38),$D38*H38/100,"")</f>
        <v/>
      </c>
    </row>
    <row r="39" customFormat="false" ht="15" hidden="false" customHeight="false" outlineLevel="0" collapsed="false">
      <c r="A39" s="8"/>
      <c r="B39" s="8"/>
      <c r="C39" s="8"/>
      <c r="D39" s="5"/>
      <c r="E39" s="5"/>
      <c r="F39" s="5"/>
      <c r="G39" s="5"/>
      <c r="H39" s="5"/>
      <c r="I39" s="6" t="str">
        <f aca="false">IF(ISNUMBER($D39),$D39*E39/100,"")</f>
        <v/>
      </c>
      <c r="J39" s="6" t="str">
        <f aca="false">IF(ISNUMBER($D39),$D39*F39/100,"")</f>
        <v/>
      </c>
      <c r="K39" s="6" t="str">
        <f aca="false">IF(ISNUMBER($D39),$D39*G39/100,"")</f>
        <v/>
      </c>
      <c r="L39" s="6" t="str">
        <f aca="false">IF(ISNUMBER($D39),$D39*H39/100,"")</f>
        <v/>
      </c>
    </row>
    <row r="40" customFormat="false" ht="15" hidden="false" customHeight="false" outlineLevel="0" collapsed="false">
      <c r="A40" s="8"/>
      <c r="B40" s="8"/>
      <c r="C40" s="8"/>
      <c r="D40" s="5"/>
      <c r="E40" s="5"/>
      <c r="F40" s="5"/>
      <c r="G40" s="5"/>
      <c r="H40" s="5"/>
      <c r="I40" s="6" t="str">
        <f aca="false">IF(ISNUMBER($D40),$D40*E40/100,"")</f>
        <v/>
      </c>
      <c r="J40" s="6" t="str">
        <f aca="false">IF(ISNUMBER($D40),$D40*F40/100,"")</f>
        <v/>
      </c>
      <c r="K40" s="6" t="str">
        <f aca="false">IF(ISNUMBER($D40),$D40*G40/100,"")</f>
        <v/>
      </c>
      <c r="L40" s="6" t="str">
        <f aca="false">IF(ISNUMBER($D40),$D40*H40/100,"")</f>
        <v/>
      </c>
    </row>
    <row r="41" customFormat="false" ht="15" hidden="false" customHeight="false" outlineLevel="0" collapsed="false">
      <c r="A41" s="8"/>
      <c r="B41" s="8"/>
      <c r="C41" s="8"/>
      <c r="D41" s="5"/>
      <c r="E41" s="5"/>
      <c r="F41" s="5"/>
      <c r="G41" s="5"/>
      <c r="H41" s="5"/>
      <c r="I41" s="6" t="str">
        <f aca="false">IF(ISNUMBER($D41),$D41*E41/100,"")</f>
        <v/>
      </c>
      <c r="J41" s="6" t="str">
        <f aca="false">IF(ISNUMBER($D41),$D41*F41/100,"")</f>
        <v/>
      </c>
      <c r="K41" s="6" t="str">
        <f aca="false">IF(ISNUMBER($D41),$D41*G41/100,"")</f>
        <v/>
      </c>
      <c r="L41" s="6" t="str">
        <f aca="false">IF(ISNUMBER($D41),$D41*H41/100,"")</f>
        <v/>
      </c>
    </row>
    <row r="42" customFormat="false" ht="15" hidden="false" customHeight="false" outlineLevel="0" collapsed="false">
      <c r="A42" s="8"/>
      <c r="B42" s="8"/>
      <c r="C42" s="8"/>
      <c r="D42" s="5"/>
      <c r="E42" s="5"/>
      <c r="F42" s="5"/>
      <c r="G42" s="5"/>
      <c r="H42" s="5"/>
      <c r="I42" s="6" t="str">
        <f aca="false">IF(ISNUMBER($D42),$D42*E42/100,"")</f>
        <v/>
      </c>
      <c r="J42" s="6" t="str">
        <f aca="false">IF(ISNUMBER($D42),$D42*F42/100,"")</f>
        <v/>
      </c>
      <c r="K42" s="6" t="str">
        <f aca="false">IF(ISNUMBER($D42),$D42*G42/100,"")</f>
        <v/>
      </c>
      <c r="L42" s="6" t="str">
        <f aca="false">IF(ISNUMBER($D42),$D42*H42/100,"")</f>
        <v/>
      </c>
    </row>
    <row r="43" customFormat="false" ht="15" hidden="false" customHeight="false" outlineLevel="0" collapsed="false">
      <c r="A43" s="8"/>
      <c r="B43" s="8"/>
      <c r="C43" s="8"/>
      <c r="D43" s="5"/>
      <c r="E43" s="5"/>
      <c r="F43" s="5"/>
      <c r="G43" s="5"/>
      <c r="H43" s="5"/>
      <c r="I43" s="6" t="str">
        <f aca="false">IF(ISNUMBER($D43),$D43*E43/100,"")</f>
        <v/>
      </c>
      <c r="J43" s="6" t="str">
        <f aca="false">IF(ISNUMBER($D43),$D43*F43/100,"")</f>
        <v/>
      </c>
      <c r="K43" s="6" t="str">
        <f aca="false">IF(ISNUMBER($D43),$D43*G43/100,"")</f>
        <v/>
      </c>
      <c r="L43" s="6" t="str">
        <f aca="false">IF(ISNUMBER($D43),$D43*H43/100,"")</f>
        <v/>
      </c>
    </row>
    <row r="44" customFormat="false" ht="15" hidden="false" customHeight="false" outlineLevel="0" collapsed="false">
      <c r="A44" s="8"/>
      <c r="B44" s="8"/>
      <c r="C44" s="8"/>
      <c r="D44" s="5"/>
      <c r="E44" s="5"/>
      <c r="F44" s="5"/>
      <c r="G44" s="5"/>
      <c r="H44" s="5"/>
      <c r="I44" s="6" t="str">
        <f aca="false">IF(ISNUMBER($D44),$D44*E44/100,"")</f>
        <v/>
      </c>
      <c r="J44" s="6" t="str">
        <f aca="false">IF(ISNUMBER($D44),$D44*F44/100,"")</f>
        <v/>
      </c>
      <c r="K44" s="6" t="str">
        <f aca="false">IF(ISNUMBER($D44),$D44*G44/100,"")</f>
        <v/>
      </c>
      <c r="L44" s="6" t="str">
        <f aca="false">IF(ISNUMBER($D44),$D44*H44/100,"")</f>
        <v/>
      </c>
    </row>
    <row r="45" customFormat="false" ht="15" hidden="false" customHeight="false" outlineLevel="0" collapsed="false">
      <c r="A45" s="8"/>
      <c r="B45" s="8"/>
      <c r="C45" s="8"/>
      <c r="D45" s="5"/>
      <c r="E45" s="5"/>
      <c r="F45" s="5"/>
      <c r="G45" s="5"/>
      <c r="H45" s="5"/>
      <c r="I45" s="6" t="str">
        <f aca="false">IF(ISNUMBER($D45),$D45*E45/100,"")</f>
        <v/>
      </c>
      <c r="J45" s="6" t="str">
        <f aca="false">IF(ISNUMBER($D45),$D45*F45/100,"")</f>
        <v/>
      </c>
      <c r="K45" s="6" t="str">
        <f aca="false">IF(ISNUMBER($D45),$D45*G45/100,"")</f>
        <v/>
      </c>
      <c r="L45" s="6" t="str">
        <f aca="false">IF(ISNUMBER($D45),$D45*H45/100,"")</f>
        <v/>
      </c>
    </row>
    <row r="46" customFormat="false" ht="15" hidden="false" customHeight="false" outlineLevel="0" collapsed="false">
      <c r="A46" s="8"/>
      <c r="B46" s="8"/>
      <c r="C46" s="8"/>
      <c r="D46" s="5"/>
      <c r="E46" s="5"/>
      <c r="F46" s="5"/>
      <c r="G46" s="5"/>
      <c r="H46" s="5"/>
      <c r="I46" s="6" t="str">
        <f aca="false">IF(ISNUMBER($D46),$D46*E46/100,"")</f>
        <v/>
      </c>
      <c r="J46" s="6" t="str">
        <f aca="false">IF(ISNUMBER($D46),$D46*F46/100,"")</f>
        <v/>
      </c>
      <c r="K46" s="6" t="str">
        <f aca="false">IF(ISNUMBER($D46),$D46*G46/100,"")</f>
        <v/>
      </c>
      <c r="L46" s="6" t="str">
        <f aca="false">IF(ISNUMBER($D46),$D46*H46/100,"")</f>
        <v/>
      </c>
    </row>
    <row r="47" customFormat="false" ht="15" hidden="false" customHeight="false" outlineLevel="0" collapsed="false">
      <c r="A47" s="8"/>
      <c r="B47" s="8"/>
      <c r="C47" s="8"/>
      <c r="D47" s="5"/>
      <c r="E47" s="5"/>
      <c r="F47" s="5"/>
      <c r="G47" s="5"/>
      <c r="H47" s="5"/>
      <c r="I47" s="6" t="str">
        <f aca="false">IF(ISNUMBER($D47),$D47*E47/100,"")</f>
        <v/>
      </c>
      <c r="J47" s="6" t="str">
        <f aca="false">IF(ISNUMBER($D47),$D47*F47/100,"")</f>
        <v/>
      </c>
      <c r="K47" s="6" t="str">
        <f aca="false">IF(ISNUMBER($D47),$D47*G47/100,"")</f>
        <v/>
      </c>
      <c r="L47" s="6" t="str">
        <f aca="false">IF(ISNUMBER($D47),$D47*H47/100,"")</f>
        <v/>
      </c>
    </row>
    <row r="48" customFormat="false" ht="15" hidden="false" customHeight="false" outlineLevel="0" collapsed="false">
      <c r="A48" s="8"/>
      <c r="B48" s="8"/>
      <c r="C48" s="8"/>
      <c r="D48" s="5"/>
      <c r="E48" s="5"/>
      <c r="F48" s="5"/>
      <c r="G48" s="5"/>
      <c r="H48" s="5"/>
      <c r="I48" s="6" t="str">
        <f aca="false">IF(ISNUMBER($D48),$D48*E48/100,"")</f>
        <v/>
      </c>
      <c r="J48" s="6" t="str">
        <f aca="false">IF(ISNUMBER($D48),$D48*F48/100,"")</f>
        <v/>
      </c>
      <c r="K48" s="6" t="str">
        <f aca="false">IF(ISNUMBER($D48),$D48*G48/100,"")</f>
        <v/>
      </c>
      <c r="L48" s="6" t="str">
        <f aca="false">IF(ISNUMBER($D48),$D48*H48/100,"")</f>
        <v/>
      </c>
    </row>
    <row r="49" customFormat="false" ht="15" hidden="false" customHeight="false" outlineLevel="0" collapsed="false">
      <c r="A49" s="8"/>
      <c r="B49" s="8"/>
      <c r="C49" s="8"/>
      <c r="D49" s="5"/>
      <c r="E49" s="5"/>
      <c r="F49" s="5"/>
      <c r="G49" s="5"/>
      <c r="H49" s="5"/>
      <c r="I49" s="6" t="str">
        <f aca="false">IF(ISNUMBER($D49),$D49*E49/100,"")</f>
        <v/>
      </c>
      <c r="J49" s="6" t="str">
        <f aca="false">IF(ISNUMBER($D49),$D49*F49/100,"")</f>
        <v/>
      </c>
      <c r="K49" s="6" t="str">
        <f aca="false">IF(ISNUMBER($D49),$D49*G49/100,"")</f>
        <v/>
      </c>
      <c r="L49" s="6" t="str">
        <f aca="false">IF(ISNUMBER($D49),$D49*H49/100,"")</f>
        <v/>
      </c>
    </row>
    <row r="50" customFormat="false" ht="15" hidden="false" customHeight="false" outlineLevel="0" collapsed="false">
      <c r="A50" s="8"/>
      <c r="B50" s="8"/>
      <c r="C50" s="8"/>
      <c r="D50" s="5"/>
      <c r="E50" s="5"/>
      <c r="F50" s="5"/>
      <c r="G50" s="5"/>
      <c r="H50" s="5"/>
      <c r="I50" s="6" t="str">
        <f aca="false">IF(ISNUMBER($D50),$D50*E50/100,"")</f>
        <v/>
      </c>
      <c r="J50" s="6" t="str">
        <f aca="false">IF(ISNUMBER($D50),$D50*F50/100,"")</f>
        <v/>
      </c>
      <c r="K50" s="6" t="str">
        <f aca="false">IF(ISNUMBER($D50),$D50*G50/100,"")</f>
        <v/>
      </c>
      <c r="L50" s="6" t="str">
        <f aca="false">IF(ISNUMBER($D50),$D50*H50/100,"")</f>
        <v/>
      </c>
    </row>
    <row r="51" customFormat="false" ht="15" hidden="false" customHeight="false" outlineLevel="0" collapsed="false">
      <c r="A51" s="8"/>
      <c r="B51" s="8"/>
      <c r="C51" s="8"/>
      <c r="D51" s="5"/>
      <c r="E51" s="5"/>
      <c r="F51" s="5"/>
      <c r="G51" s="5"/>
      <c r="H51" s="5"/>
      <c r="I51" s="6" t="str">
        <f aca="false">IF(ISNUMBER($D51),$D51*E51/100,"")</f>
        <v/>
      </c>
      <c r="J51" s="6" t="str">
        <f aca="false">IF(ISNUMBER($D51),$D51*F51/100,"")</f>
        <v/>
      </c>
      <c r="K51" s="6" t="str">
        <f aca="false">IF(ISNUMBER($D51),$D51*G51/100,"")</f>
        <v/>
      </c>
      <c r="L51" s="6" t="str">
        <f aca="false">IF(ISNUMBER($D51),$D51*H51/100,"")</f>
        <v/>
      </c>
    </row>
    <row r="52" customFormat="false" ht="15" hidden="false" customHeight="false" outlineLevel="0" collapsed="false">
      <c r="A52" s="8"/>
      <c r="B52" s="8"/>
      <c r="C52" s="8"/>
      <c r="D52" s="5"/>
      <c r="E52" s="5"/>
      <c r="F52" s="5"/>
      <c r="G52" s="5"/>
      <c r="H52" s="5"/>
      <c r="I52" s="6" t="str">
        <f aca="false">IF(ISNUMBER($D52),$D52*E52/100,"")</f>
        <v/>
      </c>
      <c r="J52" s="6" t="str">
        <f aca="false">IF(ISNUMBER($D52),$D52*F52/100,"")</f>
        <v/>
      </c>
      <c r="K52" s="6" t="str">
        <f aca="false">IF(ISNUMBER($D52),$D52*G52/100,"")</f>
        <v/>
      </c>
      <c r="L52" s="6" t="str">
        <f aca="false">IF(ISNUMBER($D52),$D52*H52/100,"")</f>
        <v/>
      </c>
    </row>
    <row r="53" customFormat="false" ht="15" hidden="false" customHeight="false" outlineLevel="0" collapsed="false">
      <c r="A53" s="8"/>
      <c r="B53" s="8"/>
      <c r="C53" s="8"/>
      <c r="D53" s="5"/>
      <c r="E53" s="5"/>
      <c r="F53" s="5"/>
      <c r="G53" s="5"/>
      <c r="H53" s="5"/>
      <c r="I53" s="6" t="str">
        <f aca="false">IF(ISNUMBER($D53),$D53*E53/100,"")</f>
        <v/>
      </c>
      <c r="J53" s="6" t="str">
        <f aca="false">IF(ISNUMBER($D53),$D53*F53/100,"")</f>
        <v/>
      </c>
      <c r="K53" s="6" t="str">
        <f aca="false">IF(ISNUMBER($D53),$D53*G53/100,"")</f>
        <v/>
      </c>
      <c r="L53" s="6" t="str">
        <f aca="false">IF(ISNUMBER($D53),$D53*H53/100,"")</f>
        <v/>
      </c>
    </row>
    <row r="54" customFormat="false" ht="15" hidden="false" customHeight="false" outlineLevel="0" collapsed="false">
      <c r="A54" s="8"/>
      <c r="B54" s="8"/>
      <c r="C54" s="8"/>
      <c r="D54" s="5"/>
      <c r="E54" s="5"/>
      <c r="F54" s="5"/>
      <c r="G54" s="5"/>
      <c r="H54" s="5"/>
      <c r="I54" s="6" t="str">
        <f aca="false">IF(ISNUMBER($D54),$D54*E54/100,"")</f>
        <v/>
      </c>
      <c r="J54" s="6" t="str">
        <f aca="false">IF(ISNUMBER($D54),$D54*F54/100,"")</f>
        <v/>
      </c>
      <c r="K54" s="6" t="str">
        <f aca="false">IF(ISNUMBER($D54),$D54*G54/100,"")</f>
        <v/>
      </c>
      <c r="L54" s="6" t="str">
        <f aca="false">IF(ISNUMBER($D54),$D54*H54/100,"")</f>
        <v/>
      </c>
    </row>
    <row r="55" customFormat="false" ht="15" hidden="false" customHeight="false" outlineLevel="0" collapsed="false">
      <c r="A55" s="8"/>
      <c r="B55" s="8"/>
      <c r="C55" s="8"/>
      <c r="D55" s="5"/>
      <c r="E55" s="5"/>
      <c r="F55" s="5"/>
      <c r="G55" s="5"/>
      <c r="H55" s="5"/>
      <c r="I55" s="6" t="str">
        <f aca="false">IF(ISNUMBER($D55),$D55*E55/100,"")</f>
        <v/>
      </c>
      <c r="J55" s="6" t="str">
        <f aca="false">IF(ISNUMBER($D55),$D55*F55/100,"")</f>
        <v/>
      </c>
      <c r="K55" s="6" t="str">
        <f aca="false">IF(ISNUMBER($D55),$D55*G55/100,"")</f>
        <v/>
      </c>
      <c r="L55" s="6" t="str">
        <f aca="false">IF(ISNUMBER($D55),$D55*H55/100,"")</f>
        <v/>
      </c>
    </row>
    <row r="56" customFormat="false" ht="15" hidden="false" customHeight="false" outlineLevel="0" collapsed="false">
      <c r="A56" s="8"/>
      <c r="B56" s="8"/>
      <c r="C56" s="8"/>
      <c r="D56" s="5"/>
      <c r="E56" s="5"/>
      <c r="F56" s="5"/>
      <c r="G56" s="5"/>
      <c r="H56" s="5"/>
      <c r="I56" s="6" t="str">
        <f aca="false">IF(ISNUMBER($D56),$D56*E56/100,"")</f>
        <v/>
      </c>
      <c r="J56" s="6" t="str">
        <f aca="false">IF(ISNUMBER($D56),$D56*F56/100,"")</f>
        <v/>
      </c>
      <c r="K56" s="6" t="str">
        <f aca="false">IF(ISNUMBER($D56),$D56*G56/100,"")</f>
        <v/>
      </c>
      <c r="L56" s="6" t="str">
        <f aca="false">IF(ISNUMBER($D56),$D56*H56/100,"")</f>
        <v/>
      </c>
    </row>
    <row r="57" customFormat="false" ht="15" hidden="false" customHeight="false" outlineLevel="0" collapsed="false">
      <c r="A57" s="8"/>
      <c r="B57" s="8"/>
      <c r="C57" s="8"/>
      <c r="D57" s="5"/>
      <c r="E57" s="5"/>
      <c r="F57" s="5"/>
      <c r="G57" s="5"/>
      <c r="H57" s="5"/>
      <c r="I57" s="6" t="str">
        <f aca="false">IF(ISNUMBER($D57),$D57*E57/100,"")</f>
        <v/>
      </c>
      <c r="J57" s="6" t="str">
        <f aca="false">IF(ISNUMBER($D57),$D57*F57/100,"")</f>
        <v/>
      </c>
      <c r="K57" s="6" t="str">
        <f aca="false">IF(ISNUMBER($D57),$D57*G57/100,"")</f>
        <v/>
      </c>
      <c r="L57" s="6" t="str">
        <f aca="false">IF(ISNUMBER($D57),$D57*H57/100,"")</f>
        <v/>
      </c>
    </row>
    <row r="58" customFormat="false" ht="15" hidden="false" customHeight="false" outlineLevel="0" collapsed="false">
      <c r="A58" s="8"/>
      <c r="B58" s="8"/>
      <c r="C58" s="8"/>
      <c r="D58" s="5"/>
      <c r="E58" s="5"/>
      <c r="F58" s="5"/>
      <c r="G58" s="5"/>
      <c r="H58" s="5"/>
      <c r="I58" s="6" t="str">
        <f aca="false">IF(ISNUMBER($D58),$D58*E58/100,"")</f>
        <v/>
      </c>
      <c r="J58" s="6" t="str">
        <f aca="false">IF(ISNUMBER($D58),$D58*F58/100,"")</f>
        <v/>
      </c>
      <c r="K58" s="6" t="str">
        <f aca="false">IF(ISNUMBER($D58),$D58*G58/100,"")</f>
        <v/>
      </c>
      <c r="L58" s="6" t="str">
        <f aca="false">IF(ISNUMBER($D58),$D58*H58/100,"")</f>
        <v/>
      </c>
    </row>
    <row r="59" customFormat="false" ht="15" hidden="false" customHeight="false" outlineLevel="0" collapsed="false">
      <c r="A59" s="8"/>
      <c r="B59" s="8"/>
      <c r="C59" s="8"/>
      <c r="D59" s="5"/>
      <c r="E59" s="5"/>
      <c r="F59" s="5"/>
      <c r="G59" s="5"/>
      <c r="H59" s="5"/>
      <c r="I59" s="6" t="str">
        <f aca="false">IF(ISNUMBER($D59),$D59*E59/100,"")</f>
        <v/>
      </c>
      <c r="J59" s="6" t="str">
        <f aca="false">IF(ISNUMBER($D59),$D59*F59/100,"")</f>
        <v/>
      </c>
      <c r="K59" s="6" t="str">
        <f aca="false">IF(ISNUMBER($D59),$D59*G59/100,"")</f>
        <v/>
      </c>
      <c r="L59" s="6" t="str">
        <f aca="false">IF(ISNUMBER($D59),$D59*H59/100,"")</f>
        <v/>
      </c>
    </row>
    <row r="60" customFormat="false" ht="15" hidden="false" customHeight="false" outlineLevel="0" collapsed="false">
      <c r="A60" s="8"/>
      <c r="B60" s="8"/>
      <c r="C60" s="8"/>
      <c r="D60" s="5"/>
      <c r="E60" s="5"/>
      <c r="F60" s="5"/>
      <c r="G60" s="5"/>
      <c r="H60" s="5"/>
      <c r="I60" s="6" t="str">
        <f aca="false">IF(ISNUMBER($D60),$D60*E60/100,"")</f>
        <v/>
      </c>
      <c r="J60" s="6" t="str">
        <f aca="false">IF(ISNUMBER($D60),$D60*F60/100,"")</f>
        <v/>
      </c>
      <c r="K60" s="6" t="str">
        <f aca="false">IF(ISNUMBER($D60),$D60*G60/100,"")</f>
        <v/>
      </c>
      <c r="L60" s="6" t="str">
        <f aca="false">IF(ISNUMBER($D60),$D60*H60/100,"")</f>
        <v/>
      </c>
    </row>
    <row r="61" customFormat="false" ht="15" hidden="false" customHeight="false" outlineLevel="0" collapsed="false">
      <c r="A61" s="8"/>
      <c r="B61" s="8"/>
      <c r="C61" s="8"/>
      <c r="D61" s="5"/>
      <c r="E61" s="5"/>
      <c r="F61" s="5"/>
      <c r="G61" s="5"/>
      <c r="H61" s="5"/>
      <c r="I61" s="6" t="str">
        <f aca="false">IF(ISNUMBER($D61),$D61*E61/100,"")</f>
        <v/>
      </c>
      <c r="J61" s="6" t="str">
        <f aca="false">IF(ISNUMBER($D61),$D61*F61/100,"")</f>
        <v/>
      </c>
      <c r="K61" s="6" t="str">
        <f aca="false">IF(ISNUMBER($D61),$D61*G61/100,"")</f>
        <v/>
      </c>
      <c r="L61" s="6" t="str">
        <f aca="false">IF(ISNUMBER($D61),$D61*H61/100,"")</f>
        <v/>
      </c>
    </row>
    <row r="62" customFormat="false" ht="15" hidden="false" customHeight="false" outlineLevel="0" collapsed="false">
      <c r="A62" s="8"/>
      <c r="B62" s="8"/>
      <c r="C62" s="8"/>
      <c r="D62" s="5"/>
      <c r="E62" s="5"/>
      <c r="F62" s="5"/>
      <c r="G62" s="5"/>
      <c r="H62" s="5"/>
      <c r="I62" s="6" t="str">
        <f aca="false">IF(ISNUMBER($D62),$D62*E62/100,"")</f>
        <v/>
      </c>
      <c r="J62" s="6" t="str">
        <f aca="false">IF(ISNUMBER($D62),$D62*F62/100,"")</f>
        <v/>
      </c>
      <c r="K62" s="6" t="str">
        <f aca="false">IF(ISNUMBER($D62),$D62*G62/100,"")</f>
        <v/>
      </c>
      <c r="L62" s="6" t="str">
        <f aca="false">IF(ISNUMBER($D62),$D62*H62/100,"")</f>
        <v/>
      </c>
    </row>
    <row r="63" customFormat="false" ht="15" hidden="false" customHeight="false" outlineLevel="0" collapsed="false">
      <c r="A63" s="8"/>
      <c r="B63" s="8"/>
      <c r="C63" s="8"/>
      <c r="D63" s="5"/>
      <c r="E63" s="5"/>
      <c r="F63" s="5"/>
      <c r="G63" s="5"/>
      <c r="H63" s="5"/>
      <c r="I63" s="6" t="str">
        <f aca="false">IF(ISNUMBER($D63),$D63*E63/100,"")</f>
        <v/>
      </c>
      <c r="J63" s="6" t="str">
        <f aca="false">IF(ISNUMBER($D63),$D63*F63/100,"")</f>
        <v/>
      </c>
      <c r="K63" s="6" t="str">
        <f aca="false">IF(ISNUMBER($D63),$D63*G63/100,"")</f>
        <v/>
      </c>
      <c r="L63" s="6" t="str">
        <f aca="false">IF(ISNUMBER($D63),$D63*H63/100,"")</f>
        <v/>
      </c>
    </row>
    <row r="64" customFormat="false" ht="15" hidden="false" customHeight="false" outlineLevel="0" collapsed="false">
      <c r="A64" s="8"/>
      <c r="B64" s="8"/>
      <c r="C64" s="8"/>
      <c r="D64" s="5"/>
      <c r="E64" s="5"/>
      <c r="F64" s="5"/>
      <c r="G64" s="5"/>
      <c r="H64" s="5"/>
      <c r="I64" s="6" t="str">
        <f aca="false">IF(ISNUMBER($D64),$D64*E64/100,"")</f>
        <v/>
      </c>
      <c r="J64" s="6" t="str">
        <f aca="false">IF(ISNUMBER($D64),$D64*F64/100,"")</f>
        <v/>
      </c>
      <c r="K64" s="6" t="str">
        <f aca="false">IF(ISNUMBER($D64),$D64*G64/100,"")</f>
        <v/>
      </c>
      <c r="L64" s="6" t="str">
        <f aca="false">IF(ISNUMBER($D64),$D64*H64/100,"")</f>
        <v/>
      </c>
    </row>
    <row r="66" customFormat="false" ht="15" hidden="false" customHeight="false" outlineLevel="0" collapsed="false">
      <c r="C66" s="9" t="s">
        <v>46</v>
      </c>
      <c r="I66" s="15" t="n">
        <f aca="false">SUM(I5:I64)</f>
        <v>79.5</v>
      </c>
      <c r="J66" s="15" t="n">
        <f aca="false">SUM(J5:J64)</f>
        <v>4.5</v>
      </c>
      <c r="K66" s="15" t="n">
        <f aca="false">SUM(K5:K64)</f>
        <v>0.6</v>
      </c>
      <c r="L66" s="15" t="n">
        <f aca="false">SUM(L5:L64)</f>
        <v>6.3</v>
      </c>
    </row>
    <row r="67" customFormat="false" ht="15" hidden="false" customHeight="false" outlineLevel="0" collapsed="false">
      <c r="C67" s="9" t="s">
        <v>47</v>
      </c>
      <c r="I67" s="15" t="n">
        <f aca="false">I66/MAX(1,MAX($A5:$A64))</f>
        <v>79.5</v>
      </c>
      <c r="J67" s="15" t="n">
        <f aca="false">J66/MAX(1,MAX($A5:$A64))</f>
        <v>4.5</v>
      </c>
      <c r="K67" s="15" t="n">
        <f aca="false">K66/MAX(1,MAX($A5:$A64))</f>
        <v>0.6</v>
      </c>
      <c r="L67" s="15" t="n">
        <f aca="false">L66/MAX(1,MAX($A5:$A64))</f>
        <v>6.3</v>
      </c>
    </row>
    <row r="69" customFormat="false" ht="15" hidden="false" customHeight="false" outlineLevel="0" collapsed="false">
      <c r="C69" s="9" t="s">
        <v>48</v>
      </c>
    </row>
    <row r="70" customFormat="false" ht="15" hidden="false" customHeight="false" outlineLevel="0" collapsed="false">
      <c r="C70" s="16" t="s">
        <v>49</v>
      </c>
      <c r="I70" s="17" t="n">
        <f aca="false">SUMIF($A5:$A64,1,$I5:$I64)</f>
        <v>79.5</v>
      </c>
    </row>
    <row r="71" customFormat="false" ht="15" hidden="false" customHeight="false" outlineLevel="0" collapsed="false">
      <c r="C71" s="16" t="s">
        <v>50</v>
      </c>
      <c r="I71" s="17" t="n">
        <f aca="false">SUMIF($A5:$A64,2,$I5:$I64)</f>
        <v>0</v>
      </c>
    </row>
    <row r="72" customFormat="false" ht="15" hidden="false" customHeight="false" outlineLevel="0" collapsed="false">
      <c r="C72" s="16" t="s">
        <v>51</v>
      </c>
      <c r="I72" s="17" t="n">
        <f aca="false">SUMIF($A5:$A64,3,$I5:$I64)</f>
        <v>0</v>
      </c>
    </row>
  </sheetData>
  <dataValidations count="1">
    <dataValidation allowBlank="true" errorStyle="stop" operator="between" showDropDown="false" showErrorMessage="false" showInputMessage="false" sqref="B5:B64" type="list">
      <formula1>"Kahvaltı,Kuşluk,Öğle,İkindi,Akşam,Gece ara öğünü"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1.5" hidden="false" customHeight="true" outlineLevel="0" collapsed="false">
      <c r="A4" s="3" t="s">
        <v>2</v>
      </c>
      <c r="B4" s="3" t="s">
        <v>54</v>
      </c>
      <c r="C4" s="3" t="s">
        <v>55</v>
      </c>
      <c r="D4" s="3" t="s">
        <v>56</v>
      </c>
      <c r="E4" s="3" t="s">
        <v>57</v>
      </c>
      <c r="F4" s="3" t="s">
        <v>58</v>
      </c>
      <c r="G4" s="3" t="s">
        <v>10</v>
      </c>
    </row>
    <row r="5" customFormat="false" ht="15" hidden="false" customHeight="false" outlineLevel="0" collapsed="false">
      <c r="A5" s="4" t="n">
        <v>46279</v>
      </c>
      <c r="B5" s="8" t="s">
        <v>59</v>
      </c>
      <c r="C5" s="18" t="n">
        <v>0.354166666666667</v>
      </c>
      <c r="D5" s="18" t="n">
        <v>0.6875</v>
      </c>
      <c r="E5" s="6" t="n">
        <f aca="false">IF(AND(ISNUMBER(C5),ISNUMBER(D5),D5&gt;C5),(D5-C5)*24,"")</f>
        <v>8</v>
      </c>
      <c r="F5" s="8" t="s">
        <v>60</v>
      </c>
      <c r="G5" s="8" t="s">
        <v>11</v>
      </c>
    </row>
    <row r="6" customFormat="false" ht="15" hidden="false" customHeight="false" outlineLevel="0" collapsed="false">
      <c r="A6" s="4"/>
      <c r="B6" s="8"/>
      <c r="C6" s="18"/>
      <c r="D6" s="18"/>
      <c r="E6" s="6" t="str">
        <f aca="false">IF(AND(ISNUMBER(C6),ISNUMBER(D6),D6&gt;C6),(D6-C6)*24,"")</f>
        <v/>
      </c>
      <c r="F6" s="8"/>
      <c r="G6" s="8"/>
    </row>
    <row r="7" customFormat="false" ht="15" hidden="false" customHeight="false" outlineLevel="0" collapsed="false">
      <c r="A7" s="4"/>
      <c r="B7" s="8"/>
      <c r="C7" s="18"/>
      <c r="D7" s="18"/>
      <c r="E7" s="6" t="str">
        <f aca="false">IF(AND(ISNUMBER(C7),ISNUMBER(D7),D7&gt;C7),(D7-C7)*24,"")</f>
        <v/>
      </c>
      <c r="F7" s="8"/>
      <c r="G7" s="8"/>
    </row>
    <row r="8" customFormat="false" ht="15" hidden="false" customHeight="false" outlineLevel="0" collapsed="false">
      <c r="A8" s="4"/>
      <c r="B8" s="8"/>
      <c r="C8" s="18"/>
      <c r="D8" s="18"/>
      <c r="E8" s="6" t="str">
        <f aca="false">IF(AND(ISNUMBER(C8),ISNUMBER(D8),D8&gt;C8),(D8-C8)*24,"")</f>
        <v/>
      </c>
      <c r="F8" s="8"/>
      <c r="G8" s="8"/>
    </row>
    <row r="9" customFormat="false" ht="15" hidden="false" customHeight="false" outlineLevel="0" collapsed="false">
      <c r="A9" s="4"/>
      <c r="B9" s="8"/>
      <c r="C9" s="18"/>
      <c r="D9" s="18"/>
      <c r="E9" s="6" t="str">
        <f aca="false">IF(AND(ISNUMBER(C9),ISNUMBER(D9),D9&gt;C9),(D9-C9)*24,"")</f>
        <v/>
      </c>
      <c r="F9" s="8"/>
      <c r="G9" s="8"/>
    </row>
    <row r="10" customFormat="false" ht="15" hidden="false" customHeight="false" outlineLevel="0" collapsed="false">
      <c r="A10" s="4"/>
      <c r="B10" s="8"/>
      <c r="C10" s="18"/>
      <c r="D10" s="18"/>
      <c r="E10" s="6" t="str">
        <f aca="false">IF(AND(ISNUMBER(C10),ISNUMBER(D10),D10&gt;C10),(D10-C10)*24,"")</f>
        <v/>
      </c>
      <c r="F10" s="8"/>
      <c r="G10" s="8"/>
    </row>
    <row r="11" customFormat="false" ht="15" hidden="false" customHeight="false" outlineLevel="0" collapsed="false">
      <c r="A11" s="4"/>
      <c r="B11" s="8"/>
      <c r="C11" s="18"/>
      <c r="D11" s="18"/>
      <c r="E11" s="6" t="str">
        <f aca="false">IF(AND(ISNUMBER(C11),ISNUMBER(D11),D11&gt;C11),(D11-C11)*24,"")</f>
        <v/>
      </c>
      <c r="F11" s="8"/>
      <c r="G11" s="8"/>
    </row>
    <row r="12" customFormat="false" ht="15" hidden="false" customHeight="false" outlineLevel="0" collapsed="false">
      <c r="A12" s="4"/>
      <c r="B12" s="8"/>
      <c r="C12" s="18"/>
      <c r="D12" s="18"/>
      <c r="E12" s="6" t="str">
        <f aca="false">IF(AND(ISNUMBER(C12),ISNUMBER(D12),D12&gt;C12),(D12-C12)*24,"")</f>
        <v/>
      </c>
      <c r="F12" s="8"/>
      <c r="G12" s="8"/>
    </row>
    <row r="13" customFormat="false" ht="15" hidden="false" customHeight="false" outlineLevel="0" collapsed="false">
      <c r="A13" s="4"/>
      <c r="B13" s="8"/>
      <c r="C13" s="18"/>
      <c r="D13" s="18"/>
      <c r="E13" s="6" t="str">
        <f aca="false">IF(AND(ISNUMBER(C13),ISNUMBER(D13),D13&gt;C13),(D13-C13)*24,"")</f>
        <v/>
      </c>
      <c r="F13" s="8"/>
      <c r="G13" s="8"/>
    </row>
    <row r="14" customFormat="false" ht="15" hidden="false" customHeight="false" outlineLevel="0" collapsed="false">
      <c r="A14" s="4"/>
      <c r="B14" s="8"/>
      <c r="C14" s="18"/>
      <c r="D14" s="18"/>
      <c r="E14" s="6" t="str">
        <f aca="false">IF(AND(ISNUMBER(C14),ISNUMBER(D14),D14&gt;C14),(D14-C14)*24,"")</f>
        <v/>
      </c>
      <c r="F14" s="8"/>
      <c r="G14" s="8"/>
    </row>
    <row r="15" customFormat="false" ht="15" hidden="false" customHeight="false" outlineLevel="0" collapsed="false">
      <c r="A15" s="4"/>
      <c r="B15" s="8"/>
      <c r="C15" s="18"/>
      <c r="D15" s="18"/>
      <c r="E15" s="6" t="str">
        <f aca="false">IF(AND(ISNUMBER(C15),ISNUMBER(D15),D15&gt;C15),(D15-C15)*24,"")</f>
        <v/>
      </c>
      <c r="F15" s="8"/>
      <c r="G15" s="8"/>
    </row>
    <row r="16" customFormat="false" ht="15" hidden="false" customHeight="false" outlineLevel="0" collapsed="false">
      <c r="A16" s="4"/>
      <c r="B16" s="8"/>
      <c r="C16" s="18"/>
      <c r="D16" s="18"/>
      <c r="E16" s="6" t="str">
        <f aca="false">IF(AND(ISNUMBER(C16),ISNUMBER(D16),D16&gt;C16),(D16-C16)*24,"")</f>
        <v/>
      </c>
      <c r="F16" s="8"/>
      <c r="G16" s="8"/>
    </row>
    <row r="17" customFormat="false" ht="15" hidden="false" customHeight="false" outlineLevel="0" collapsed="false">
      <c r="A17" s="4"/>
      <c r="B17" s="8"/>
      <c r="C17" s="18"/>
      <c r="D17" s="18"/>
      <c r="E17" s="6" t="str">
        <f aca="false">IF(AND(ISNUMBER(C17),ISNUMBER(D17),D17&gt;C17),(D17-C17)*24,"")</f>
        <v/>
      </c>
      <c r="F17" s="8"/>
      <c r="G17" s="8"/>
    </row>
    <row r="18" customFormat="false" ht="15" hidden="false" customHeight="false" outlineLevel="0" collapsed="false">
      <c r="A18" s="4"/>
      <c r="B18" s="8"/>
      <c r="C18" s="18"/>
      <c r="D18" s="18"/>
      <c r="E18" s="6" t="str">
        <f aca="false">IF(AND(ISNUMBER(C18),ISNUMBER(D18),D18&gt;C18),(D18-C18)*24,"")</f>
        <v/>
      </c>
      <c r="F18" s="8"/>
      <c r="G18" s="8"/>
    </row>
    <row r="19" customFormat="false" ht="15" hidden="false" customHeight="false" outlineLevel="0" collapsed="false">
      <c r="A19" s="4"/>
      <c r="B19" s="8"/>
      <c r="C19" s="18"/>
      <c r="D19" s="18"/>
      <c r="E19" s="6" t="str">
        <f aca="false">IF(AND(ISNUMBER(C19),ISNUMBER(D19),D19&gt;C19),(D19-C19)*24,"")</f>
        <v/>
      </c>
      <c r="F19" s="8"/>
      <c r="G19" s="8"/>
    </row>
    <row r="20" customFormat="false" ht="15" hidden="false" customHeight="false" outlineLevel="0" collapsed="false">
      <c r="A20" s="4"/>
      <c r="B20" s="8"/>
      <c r="C20" s="18"/>
      <c r="D20" s="18"/>
      <c r="E20" s="6" t="str">
        <f aca="false">IF(AND(ISNUMBER(C20),ISNUMBER(D20),D20&gt;C20),(D20-C20)*24,"")</f>
        <v/>
      </c>
      <c r="F20" s="8"/>
      <c r="G20" s="8"/>
    </row>
    <row r="21" customFormat="false" ht="15" hidden="false" customHeight="false" outlineLevel="0" collapsed="false">
      <c r="A21" s="4"/>
      <c r="B21" s="8"/>
      <c r="C21" s="18"/>
      <c r="D21" s="18"/>
      <c r="E21" s="6" t="str">
        <f aca="false">IF(AND(ISNUMBER(C21),ISNUMBER(D21),D21&gt;C21),(D21-C21)*24,"")</f>
        <v/>
      </c>
      <c r="F21" s="8"/>
      <c r="G21" s="8"/>
    </row>
    <row r="22" customFormat="false" ht="15" hidden="false" customHeight="false" outlineLevel="0" collapsed="false">
      <c r="A22" s="4"/>
      <c r="B22" s="8"/>
      <c r="C22" s="18"/>
      <c r="D22" s="18"/>
      <c r="E22" s="6" t="str">
        <f aca="false">IF(AND(ISNUMBER(C22),ISNUMBER(D22),D22&gt;C22),(D22-C22)*24,"")</f>
        <v/>
      </c>
      <c r="F22" s="8"/>
      <c r="G22" s="8"/>
    </row>
    <row r="23" customFormat="false" ht="15" hidden="false" customHeight="false" outlineLevel="0" collapsed="false">
      <c r="A23" s="4"/>
      <c r="B23" s="8"/>
      <c r="C23" s="18"/>
      <c r="D23" s="18"/>
      <c r="E23" s="6" t="str">
        <f aca="false">IF(AND(ISNUMBER(C23),ISNUMBER(D23),D23&gt;C23),(D23-C23)*24,"")</f>
        <v/>
      </c>
      <c r="F23" s="8"/>
      <c r="G23" s="8"/>
    </row>
    <row r="24" customFormat="false" ht="15" hidden="false" customHeight="false" outlineLevel="0" collapsed="false">
      <c r="A24" s="4"/>
      <c r="B24" s="8"/>
      <c r="C24" s="18"/>
      <c r="D24" s="18"/>
      <c r="E24" s="6" t="str">
        <f aca="false">IF(AND(ISNUMBER(C24),ISNUMBER(D24),D24&gt;C24),(D24-C24)*24,"")</f>
        <v/>
      </c>
      <c r="F24" s="8"/>
      <c r="G24" s="8"/>
    </row>
    <row r="25" customFormat="false" ht="15" hidden="false" customHeight="false" outlineLevel="0" collapsed="false">
      <c r="A25" s="4"/>
      <c r="B25" s="8"/>
      <c r="C25" s="18"/>
      <c r="D25" s="18"/>
      <c r="E25" s="6" t="str">
        <f aca="false">IF(AND(ISNUMBER(C25),ISNUMBER(D25),D25&gt;C25),(D25-C25)*24,"")</f>
        <v/>
      </c>
      <c r="F25" s="8"/>
      <c r="G25" s="8"/>
    </row>
    <row r="26" customFormat="false" ht="15" hidden="false" customHeight="false" outlineLevel="0" collapsed="false">
      <c r="A26" s="4"/>
      <c r="B26" s="8"/>
      <c r="C26" s="18"/>
      <c r="D26" s="18"/>
      <c r="E26" s="6" t="str">
        <f aca="false">IF(AND(ISNUMBER(C26),ISNUMBER(D26),D26&gt;C26),(D26-C26)*24,"")</f>
        <v/>
      </c>
      <c r="F26" s="8"/>
      <c r="G26" s="8"/>
    </row>
    <row r="27" customFormat="false" ht="15" hidden="false" customHeight="false" outlineLevel="0" collapsed="false">
      <c r="A27" s="4"/>
      <c r="B27" s="8"/>
      <c r="C27" s="18"/>
      <c r="D27" s="18"/>
      <c r="E27" s="6" t="str">
        <f aca="false">IF(AND(ISNUMBER(C27),ISNUMBER(D27),D27&gt;C27),(D27-C27)*24,"")</f>
        <v/>
      </c>
      <c r="F27" s="8"/>
      <c r="G27" s="8"/>
    </row>
    <row r="28" customFormat="false" ht="15" hidden="false" customHeight="false" outlineLevel="0" collapsed="false">
      <c r="A28" s="4"/>
      <c r="B28" s="8"/>
      <c r="C28" s="18"/>
      <c r="D28" s="18"/>
      <c r="E28" s="6" t="str">
        <f aca="false">IF(AND(ISNUMBER(C28),ISNUMBER(D28),D28&gt;C28),(D28-C28)*24,"")</f>
        <v/>
      </c>
      <c r="F28" s="8"/>
      <c r="G28" s="8"/>
    </row>
    <row r="29" customFormat="false" ht="15" hidden="false" customHeight="false" outlineLevel="0" collapsed="false">
      <c r="A29" s="4"/>
      <c r="B29" s="8"/>
      <c r="C29" s="18"/>
      <c r="D29" s="18"/>
      <c r="E29" s="6" t="str">
        <f aca="false">IF(AND(ISNUMBER(C29),ISNUMBER(D29),D29&gt;C29),(D29-C29)*24,"")</f>
        <v/>
      </c>
      <c r="F29" s="8"/>
      <c r="G29" s="8"/>
    </row>
    <row r="30" customFormat="false" ht="15" hidden="false" customHeight="false" outlineLevel="0" collapsed="false">
      <c r="A30" s="4"/>
      <c r="B30" s="8"/>
      <c r="C30" s="18"/>
      <c r="D30" s="18"/>
      <c r="E30" s="6" t="str">
        <f aca="false">IF(AND(ISNUMBER(C30),ISNUMBER(D30),D30&gt;C30),(D30-C30)*24,"")</f>
        <v/>
      </c>
      <c r="F30" s="8"/>
      <c r="G30" s="8"/>
    </row>
    <row r="31" customFormat="false" ht="15" hidden="false" customHeight="false" outlineLevel="0" collapsed="false">
      <c r="A31" s="4"/>
      <c r="B31" s="8"/>
      <c r="C31" s="18"/>
      <c r="D31" s="18"/>
      <c r="E31" s="6" t="str">
        <f aca="false">IF(AND(ISNUMBER(C31),ISNUMBER(D31),D31&gt;C31),(D31-C31)*24,"")</f>
        <v/>
      </c>
      <c r="F31" s="8"/>
      <c r="G31" s="8"/>
    </row>
    <row r="32" customFormat="false" ht="15" hidden="false" customHeight="false" outlineLevel="0" collapsed="false">
      <c r="A32" s="4"/>
      <c r="B32" s="8"/>
      <c r="C32" s="18"/>
      <c r="D32" s="18"/>
      <c r="E32" s="6" t="str">
        <f aca="false">IF(AND(ISNUMBER(C32),ISNUMBER(D32),D32&gt;C32),(D32-C32)*24,"")</f>
        <v/>
      </c>
      <c r="F32" s="8"/>
      <c r="G32" s="8"/>
    </row>
    <row r="33" customFormat="false" ht="15" hidden="false" customHeight="false" outlineLevel="0" collapsed="false">
      <c r="A33" s="4"/>
      <c r="B33" s="8"/>
      <c r="C33" s="18"/>
      <c r="D33" s="18"/>
      <c r="E33" s="6" t="str">
        <f aca="false">IF(AND(ISNUMBER(C33),ISNUMBER(D33),D33&gt;C33),(D33-C33)*24,"")</f>
        <v/>
      </c>
      <c r="F33" s="8"/>
      <c r="G33" s="8"/>
    </row>
    <row r="34" customFormat="false" ht="15" hidden="false" customHeight="false" outlineLevel="0" collapsed="false">
      <c r="A34" s="4"/>
      <c r="B34" s="8"/>
      <c r="C34" s="18"/>
      <c r="D34" s="18"/>
      <c r="E34" s="6" t="str">
        <f aca="false">IF(AND(ISNUMBER(C34),ISNUMBER(D34),D34&gt;C34),(D34-C34)*24,"")</f>
        <v/>
      </c>
      <c r="F34" s="8"/>
      <c r="G34" s="8"/>
    </row>
    <row r="35" customFormat="false" ht="15" hidden="false" customHeight="false" outlineLevel="0" collapsed="false">
      <c r="A35" s="4"/>
      <c r="B35" s="8"/>
      <c r="C35" s="18"/>
      <c r="D35" s="18"/>
      <c r="E35" s="6" t="str">
        <f aca="false">IF(AND(ISNUMBER(C35),ISNUMBER(D35),D35&gt;C35),(D35-C35)*24,"")</f>
        <v/>
      </c>
      <c r="F35" s="8"/>
      <c r="G35" s="8"/>
    </row>
    <row r="36" customFormat="false" ht="15" hidden="false" customHeight="false" outlineLevel="0" collapsed="false">
      <c r="A36" s="4"/>
      <c r="B36" s="8"/>
      <c r="C36" s="18"/>
      <c r="D36" s="18"/>
      <c r="E36" s="6" t="str">
        <f aca="false">IF(AND(ISNUMBER(C36),ISNUMBER(D36),D36&gt;C36),(D36-C36)*24,"")</f>
        <v/>
      </c>
      <c r="F36" s="8"/>
      <c r="G36" s="8"/>
    </row>
    <row r="37" customFormat="false" ht="15" hidden="false" customHeight="false" outlineLevel="0" collapsed="false">
      <c r="A37" s="4"/>
      <c r="B37" s="8"/>
      <c r="C37" s="18"/>
      <c r="D37" s="18"/>
      <c r="E37" s="6" t="str">
        <f aca="false">IF(AND(ISNUMBER(C37),ISNUMBER(D37),D37&gt;C37),(D37-C37)*24,"")</f>
        <v/>
      </c>
      <c r="F37" s="8"/>
      <c r="G37" s="8"/>
    </row>
    <row r="38" customFormat="false" ht="15" hidden="false" customHeight="false" outlineLevel="0" collapsed="false">
      <c r="A38" s="4"/>
      <c r="B38" s="8"/>
      <c r="C38" s="18"/>
      <c r="D38" s="18"/>
      <c r="E38" s="6" t="str">
        <f aca="false">IF(AND(ISNUMBER(C38),ISNUMBER(D38),D38&gt;C38),(D38-C38)*24,"")</f>
        <v/>
      </c>
      <c r="F38" s="8"/>
      <c r="G38" s="8"/>
    </row>
    <row r="39" customFormat="false" ht="15" hidden="false" customHeight="false" outlineLevel="0" collapsed="false">
      <c r="A39" s="4"/>
      <c r="B39" s="8"/>
      <c r="C39" s="18"/>
      <c r="D39" s="18"/>
      <c r="E39" s="6" t="str">
        <f aca="false">IF(AND(ISNUMBER(C39),ISNUMBER(D39),D39&gt;C39),(D39-C39)*24,"")</f>
        <v/>
      </c>
      <c r="F39" s="8"/>
      <c r="G39" s="8"/>
    </row>
    <row r="40" customFormat="false" ht="15" hidden="false" customHeight="false" outlineLevel="0" collapsed="false">
      <c r="A40" s="4"/>
      <c r="B40" s="8"/>
      <c r="C40" s="18"/>
      <c r="D40" s="18"/>
      <c r="E40" s="6" t="str">
        <f aca="false">IF(AND(ISNUMBER(C40),ISNUMBER(D40),D40&gt;C40),(D40-C40)*24,"")</f>
        <v/>
      </c>
      <c r="F40" s="8"/>
      <c r="G40" s="8"/>
    </row>
    <row r="41" customFormat="false" ht="15" hidden="false" customHeight="false" outlineLevel="0" collapsed="false">
      <c r="A41" s="4"/>
      <c r="B41" s="8"/>
      <c r="C41" s="18"/>
      <c r="D41" s="18"/>
      <c r="E41" s="6" t="str">
        <f aca="false">IF(AND(ISNUMBER(C41),ISNUMBER(D41),D41&gt;C41),(D41-C41)*24,"")</f>
        <v/>
      </c>
      <c r="F41" s="8"/>
      <c r="G41" s="8"/>
    </row>
    <row r="42" customFormat="false" ht="15" hidden="false" customHeight="false" outlineLevel="0" collapsed="false">
      <c r="A42" s="4"/>
      <c r="B42" s="8"/>
      <c r="C42" s="18"/>
      <c r="D42" s="18"/>
      <c r="E42" s="6" t="str">
        <f aca="false">IF(AND(ISNUMBER(C42),ISNUMBER(D42),D42&gt;C42),(D42-C42)*24,"")</f>
        <v/>
      </c>
      <c r="F42" s="8"/>
      <c r="G42" s="8"/>
    </row>
    <row r="43" customFormat="false" ht="15" hidden="false" customHeight="false" outlineLevel="0" collapsed="false">
      <c r="A43" s="4"/>
      <c r="B43" s="8"/>
      <c r="C43" s="18"/>
      <c r="D43" s="18"/>
      <c r="E43" s="6" t="str">
        <f aca="false">IF(AND(ISNUMBER(C43),ISNUMBER(D43),D43&gt;C43),(D43-C43)*24,"")</f>
        <v/>
      </c>
      <c r="F43" s="8"/>
      <c r="G43" s="8"/>
    </row>
    <row r="44" customFormat="false" ht="15" hidden="false" customHeight="false" outlineLevel="0" collapsed="false">
      <c r="A44" s="4"/>
      <c r="B44" s="8"/>
      <c r="C44" s="18"/>
      <c r="D44" s="18"/>
      <c r="E44" s="6" t="str">
        <f aca="false">IF(AND(ISNUMBER(C44),ISNUMBER(D44),D44&gt;C44),(D44-C44)*24,"")</f>
        <v/>
      </c>
      <c r="F44" s="8"/>
      <c r="G44" s="8"/>
    </row>
    <row r="45" customFormat="false" ht="15" hidden="false" customHeight="false" outlineLevel="0" collapsed="false">
      <c r="A45" s="4"/>
      <c r="B45" s="8"/>
      <c r="C45" s="18"/>
      <c r="D45" s="18"/>
      <c r="E45" s="6" t="str">
        <f aca="false">IF(AND(ISNUMBER(C45),ISNUMBER(D45),D45&gt;C45),(D45-C45)*24,"")</f>
        <v/>
      </c>
      <c r="F45" s="8"/>
      <c r="G45" s="8"/>
    </row>
    <row r="46" customFormat="false" ht="15" hidden="false" customHeight="false" outlineLevel="0" collapsed="false">
      <c r="A46" s="4"/>
      <c r="B46" s="8"/>
      <c r="C46" s="18"/>
      <c r="D46" s="18"/>
      <c r="E46" s="6" t="str">
        <f aca="false">IF(AND(ISNUMBER(C46),ISNUMBER(D46),D46&gt;C46),(D46-C46)*24,"")</f>
        <v/>
      </c>
      <c r="F46" s="8"/>
      <c r="G46" s="8"/>
    </row>
    <row r="47" customFormat="false" ht="15" hidden="false" customHeight="false" outlineLevel="0" collapsed="false">
      <c r="A47" s="4"/>
      <c r="B47" s="8"/>
      <c r="C47" s="18"/>
      <c r="D47" s="18"/>
      <c r="E47" s="6" t="str">
        <f aca="false">IF(AND(ISNUMBER(C47),ISNUMBER(D47),D47&gt;C47),(D47-C47)*24,"")</f>
        <v/>
      </c>
      <c r="F47" s="8"/>
      <c r="G47" s="8"/>
    </row>
    <row r="48" customFormat="false" ht="15" hidden="false" customHeight="false" outlineLevel="0" collapsed="false">
      <c r="A48" s="4"/>
      <c r="B48" s="8"/>
      <c r="C48" s="18"/>
      <c r="D48" s="18"/>
      <c r="E48" s="6" t="str">
        <f aca="false">IF(AND(ISNUMBER(C48),ISNUMBER(D48),D48&gt;C48),(D48-C48)*24,"")</f>
        <v/>
      </c>
      <c r="F48" s="8"/>
      <c r="G48" s="8"/>
    </row>
    <row r="49" customFormat="false" ht="15" hidden="false" customHeight="false" outlineLevel="0" collapsed="false">
      <c r="A49" s="4"/>
      <c r="B49" s="8"/>
      <c r="C49" s="18"/>
      <c r="D49" s="18"/>
      <c r="E49" s="6" t="str">
        <f aca="false">IF(AND(ISNUMBER(C49),ISNUMBER(D49),D49&gt;C49),(D49-C49)*24,"")</f>
        <v/>
      </c>
      <c r="F49" s="8"/>
      <c r="G49" s="8"/>
    </row>
    <row r="50" customFormat="false" ht="15" hidden="false" customHeight="false" outlineLevel="0" collapsed="false">
      <c r="A50" s="4"/>
      <c r="B50" s="8"/>
      <c r="C50" s="18"/>
      <c r="D50" s="18"/>
      <c r="E50" s="6" t="str">
        <f aca="false">IF(AND(ISNUMBER(C50),ISNUMBER(D50),D50&gt;C50),(D50-C50)*24,"")</f>
        <v/>
      </c>
      <c r="F50" s="8"/>
      <c r="G50" s="8"/>
    </row>
    <row r="51" customFormat="false" ht="15" hidden="false" customHeight="false" outlineLevel="0" collapsed="false">
      <c r="A51" s="4"/>
      <c r="B51" s="8"/>
      <c r="C51" s="18"/>
      <c r="D51" s="18"/>
      <c r="E51" s="6" t="str">
        <f aca="false">IF(AND(ISNUMBER(C51),ISNUMBER(D51),D51&gt;C51),(D51-C51)*24,"")</f>
        <v/>
      </c>
      <c r="F51" s="8"/>
      <c r="G51" s="8"/>
    </row>
    <row r="52" customFormat="false" ht="15" hidden="false" customHeight="false" outlineLevel="0" collapsed="false">
      <c r="A52" s="4"/>
      <c r="B52" s="8"/>
      <c r="C52" s="18"/>
      <c r="D52" s="18"/>
      <c r="E52" s="6" t="str">
        <f aca="false">IF(AND(ISNUMBER(C52),ISNUMBER(D52),D52&gt;C52),(D52-C52)*24,"")</f>
        <v/>
      </c>
      <c r="F52" s="8"/>
      <c r="G52" s="8"/>
    </row>
    <row r="53" customFormat="false" ht="15" hidden="false" customHeight="false" outlineLevel="0" collapsed="false">
      <c r="A53" s="4"/>
      <c r="B53" s="8"/>
      <c r="C53" s="18"/>
      <c r="D53" s="18"/>
      <c r="E53" s="6" t="str">
        <f aca="false">IF(AND(ISNUMBER(C53),ISNUMBER(D53),D53&gt;C53),(D53-C53)*24,"")</f>
        <v/>
      </c>
      <c r="F53" s="8"/>
      <c r="G53" s="8"/>
    </row>
    <row r="54" customFormat="false" ht="15" hidden="false" customHeight="false" outlineLevel="0" collapsed="false">
      <c r="A54" s="4"/>
      <c r="B54" s="8"/>
      <c r="C54" s="18"/>
      <c r="D54" s="18"/>
      <c r="E54" s="6" t="str">
        <f aca="false">IF(AND(ISNUMBER(C54),ISNUMBER(D54),D54&gt;C54),(D54-C54)*24,"")</f>
        <v/>
      </c>
      <c r="F54" s="8"/>
      <c r="G54" s="8"/>
    </row>
    <row r="55" customFormat="false" ht="15" hidden="false" customHeight="false" outlineLevel="0" collapsed="false">
      <c r="A55" s="4"/>
      <c r="B55" s="8"/>
      <c r="C55" s="18"/>
      <c r="D55" s="18"/>
      <c r="E55" s="6" t="str">
        <f aca="false">IF(AND(ISNUMBER(C55),ISNUMBER(D55),D55&gt;C55),(D55-C55)*24,"")</f>
        <v/>
      </c>
      <c r="F55" s="8"/>
      <c r="G55" s="8"/>
    </row>
    <row r="56" customFormat="false" ht="15" hidden="false" customHeight="false" outlineLevel="0" collapsed="false">
      <c r="A56" s="4"/>
      <c r="B56" s="8"/>
      <c r="C56" s="18"/>
      <c r="D56" s="18"/>
      <c r="E56" s="6" t="str">
        <f aca="false">IF(AND(ISNUMBER(C56),ISNUMBER(D56),D56&gt;C56),(D56-C56)*24,"")</f>
        <v/>
      </c>
      <c r="F56" s="8"/>
      <c r="G56" s="8"/>
    </row>
    <row r="57" customFormat="false" ht="15" hidden="false" customHeight="false" outlineLevel="0" collapsed="false">
      <c r="A57" s="4"/>
      <c r="B57" s="8"/>
      <c r="C57" s="18"/>
      <c r="D57" s="18"/>
      <c r="E57" s="6" t="str">
        <f aca="false">IF(AND(ISNUMBER(C57),ISNUMBER(D57),D57&gt;C57),(D57-C57)*24,"")</f>
        <v/>
      </c>
      <c r="F57" s="8"/>
      <c r="G57" s="8"/>
    </row>
    <row r="58" customFormat="false" ht="15" hidden="false" customHeight="false" outlineLevel="0" collapsed="false">
      <c r="A58" s="4"/>
      <c r="B58" s="8"/>
      <c r="C58" s="18"/>
      <c r="D58" s="18"/>
      <c r="E58" s="6" t="str">
        <f aca="false">IF(AND(ISNUMBER(C58),ISNUMBER(D58),D58&gt;C58),(D58-C58)*24,"")</f>
        <v/>
      </c>
      <c r="F58" s="8"/>
      <c r="G58" s="8"/>
    </row>
    <row r="59" customFormat="false" ht="15" hidden="false" customHeight="false" outlineLevel="0" collapsed="false">
      <c r="A59" s="4"/>
      <c r="B59" s="8"/>
      <c r="C59" s="18"/>
      <c r="D59" s="18"/>
      <c r="E59" s="6" t="str">
        <f aca="false">IF(AND(ISNUMBER(C59),ISNUMBER(D59),D59&gt;C59),(D59-C59)*24,"")</f>
        <v/>
      </c>
      <c r="F59" s="8"/>
      <c r="G59" s="8"/>
    </row>
    <row r="60" customFormat="false" ht="15" hidden="false" customHeight="false" outlineLevel="0" collapsed="false">
      <c r="A60" s="4"/>
      <c r="B60" s="8"/>
      <c r="C60" s="18"/>
      <c r="D60" s="18"/>
      <c r="E60" s="6" t="str">
        <f aca="false">IF(AND(ISNUMBER(C60),ISNUMBER(D60),D60&gt;C60),(D60-C60)*24,"")</f>
        <v/>
      </c>
      <c r="F60" s="8"/>
      <c r="G60" s="8"/>
    </row>
    <row r="61" customFormat="false" ht="15" hidden="false" customHeight="false" outlineLevel="0" collapsed="false">
      <c r="A61" s="4"/>
      <c r="B61" s="8"/>
      <c r="C61" s="18"/>
      <c r="D61" s="18"/>
      <c r="E61" s="6" t="str">
        <f aca="false">IF(AND(ISNUMBER(C61),ISNUMBER(D61),D61&gt;C61),(D61-C61)*24,"")</f>
        <v/>
      </c>
      <c r="F61" s="8"/>
      <c r="G61" s="8"/>
    </row>
    <row r="62" customFormat="false" ht="15" hidden="false" customHeight="false" outlineLevel="0" collapsed="false">
      <c r="A62" s="4"/>
      <c r="B62" s="8"/>
      <c r="C62" s="18"/>
      <c r="D62" s="18"/>
      <c r="E62" s="6" t="str">
        <f aca="false">IF(AND(ISNUMBER(C62),ISNUMBER(D62),D62&gt;C62),(D62-C62)*24,"")</f>
        <v/>
      </c>
      <c r="F62" s="8"/>
      <c r="G62" s="8"/>
    </row>
    <row r="63" customFormat="false" ht="15" hidden="false" customHeight="false" outlineLevel="0" collapsed="false">
      <c r="A63" s="4"/>
      <c r="B63" s="8"/>
      <c r="C63" s="18"/>
      <c r="D63" s="18"/>
      <c r="E63" s="6" t="str">
        <f aca="false">IF(AND(ISNUMBER(C63),ISNUMBER(D63),D63&gt;C63),(D63-C63)*24,"")</f>
        <v/>
      </c>
      <c r="F63" s="8"/>
      <c r="G63" s="8"/>
    </row>
    <row r="64" customFormat="false" ht="15" hidden="false" customHeight="false" outlineLevel="0" collapsed="false">
      <c r="A64" s="4"/>
      <c r="B64" s="8"/>
      <c r="C64" s="18"/>
      <c r="D64" s="18"/>
      <c r="E64" s="6" t="str">
        <f aca="false">IF(AND(ISNUMBER(C64),ISNUMBER(D64),D64&gt;C64),(D64-C64)*24,"")</f>
        <v/>
      </c>
      <c r="F64" s="8"/>
      <c r="G64" s="8"/>
    </row>
    <row r="65" customFormat="false" ht="15" hidden="false" customHeight="false" outlineLevel="0" collapsed="false">
      <c r="A65" s="4"/>
      <c r="B65" s="8"/>
      <c r="C65" s="18"/>
      <c r="D65" s="18"/>
      <c r="E65" s="6" t="str">
        <f aca="false">IF(AND(ISNUMBER(C65),ISNUMBER(D65),D65&gt;C65),(D65-C65)*24,"")</f>
        <v/>
      </c>
      <c r="F65" s="8"/>
      <c r="G65" s="8"/>
    </row>
    <row r="66" customFormat="false" ht="15" hidden="false" customHeight="false" outlineLevel="0" collapsed="false">
      <c r="A66" s="4"/>
      <c r="B66" s="8"/>
      <c r="C66" s="18"/>
      <c r="D66" s="18"/>
      <c r="E66" s="6" t="str">
        <f aca="false">IF(AND(ISNUMBER(C66),ISNUMBER(D66),D66&gt;C66),(D66-C66)*24,"")</f>
        <v/>
      </c>
      <c r="F66" s="8"/>
      <c r="G66" s="8"/>
    </row>
    <row r="67" customFormat="false" ht="15" hidden="false" customHeight="false" outlineLevel="0" collapsed="false">
      <c r="A67" s="4"/>
      <c r="B67" s="8"/>
      <c r="C67" s="18"/>
      <c r="D67" s="18"/>
      <c r="E67" s="6" t="str">
        <f aca="false">IF(AND(ISNUMBER(C67),ISNUMBER(D67),D67&gt;C67),(D67-C67)*24,"")</f>
        <v/>
      </c>
      <c r="F67" s="8"/>
      <c r="G67" s="8"/>
    </row>
    <row r="68" customFormat="false" ht="15" hidden="false" customHeight="false" outlineLevel="0" collapsed="false">
      <c r="A68" s="4"/>
      <c r="B68" s="8"/>
      <c r="C68" s="18"/>
      <c r="D68" s="18"/>
      <c r="E68" s="6" t="str">
        <f aca="false">IF(AND(ISNUMBER(C68),ISNUMBER(D68),D68&gt;C68),(D68-C68)*24,"")</f>
        <v/>
      </c>
      <c r="F68" s="8"/>
      <c r="G68" s="8"/>
    </row>
    <row r="69" customFormat="false" ht="15" hidden="false" customHeight="false" outlineLevel="0" collapsed="false">
      <c r="A69" s="4"/>
      <c r="B69" s="8"/>
      <c r="C69" s="18"/>
      <c r="D69" s="18"/>
      <c r="E69" s="6" t="str">
        <f aca="false">IF(AND(ISNUMBER(C69),ISNUMBER(D69),D69&gt;C69),(D69-C69)*24,"")</f>
        <v/>
      </c>
      <c r="F69" s="8"/>
      <c r="G69" s="8"/>
    </row>
    <row r="70" customFormat="false" ht="15" hidden="false" customHeight="false" outlineLevel="0" collapsed="false">
      <c r="A70" s="4"/>
      <c r="B70" s="8"/>
      <c r="C70" s="18"/>
      <c r="D70" s="18"/>
      <c r="E70" s="6" t="str">
        <f aca="false">IF(AND(ISNUMBER(C70),ISNUMBER(D70),D70&gt;C70),(D70-C70)*24,"")</f>
        <v/>
      </c>
      <c r="F70" s="8"/>
      <c r="G70" s="8"/>
    </row>
    <row r="71" customFormat="false" ht="15" hidden="false" customHeight="false" outlineLevel="0" collapsed="false">
      <c r="A71" s="4"/>
      <c r="B71" s="8"/>
      <c r="C71" s="18"/>
      <c r="D71" s="18"/>
      <c r="E71" s="6" t="str">
        <f aca="false">IF(AND(ISNUMBER(C71),ISNUMBER(D71),D71&gt;C71),(D71-C71)*24,"")</f>
        <v/>
      </c>
      <c r="F71" s="8"/>
      <c r="G71" s="8"/>
    </row>
    <row r="72" customFormat="false" ht="15" hidden="false" customHeight="false" outlineLevel="0" collapsed="false">
      <c r="A72" s="4"/>
      <c r="B72" s="8"/>
      <c r="C72" s="18"/>
      <c r="D72" s="18"/>
      <c r="E72" s="6" t="str">
        <f aca="false">IF(AND(ISNUMBER(C72),ISNUMBER(D72),D72&gt;C72),(D72-C72)*24,"")</f>
        <v/>
      </c>
      <c r="F72" s="8"/>
      <c r="G72" s="8"/>
    </row>
    <row r="73" customFormat="false" ht="15" hidden="false" customHeight="false" outlineLevel="0" collapsed="false">
      <c r="A73" s="4"/>
      <c r="B73" s="8"/>
      <c r="C73" s="18"/>
      <c r="D73" s="18"/>
      <c r="E73" s="6" t="str">
        <f aca="false">IF(AND(ISNUMBER(C73),ISNUMBER(D73),D73&gt;C73),(D73-C73)*24,"")</f>
        <v/>
      </c>
      <c r="F73" s="8"/>
      <c r="G73" s="8"/>
    </row>
    <row r="74" customFormat="false" ht="15" hidden="false" customHeight="false" outlineLevel="0" collapsed="false">
      <c r="A74" s="4"/>
      <c r="B74" s="8"/>
      <c r="C74" s="18"/>
      <c r="D74" s="18"/>
      <c r="E74" s="6" t="str">
        <f aca="false">IF(AND(ISNUMBER(C74),ISNUMBER(D74),D74&gt;C74),(D74-C74)*24,"")</f>
        <v/>
      </c>
      <c r="F74" s="8"/>
      <c r="G74" s="8"/>
    </row>
    <row r="75" customFormat="false" ht="15" hidden="false" customHeight="false" outlineLevel="0" collapsed="false">
      <c r="A75" s="4"/>
      <c r="B75" s="8"/>
      <c r="C75" s="18"/>
      <c r="D75" s="18"/>
      <c r="E75" s="6" t="str">
        <f aca="false">IF(AND(ISNUMBER(C75),ISNUMBER(D75),D75&gt;C75),(D75-C75)*24,"")</f>
        <v/>
      </c>
      <c r="F75" s="8"/>
      <c r="G75" s="8"/>
    </row>
    <row r="76" customFormat="false" ht="15" hidden="false" customHeight="false" outlineLevel="0" collapsed="false">
      <c r="A76" s="4"/>
      <c r="B76" s="8"/>
      <c r="C76" s="18"/>
      <c r="D76" s="18"/>
      <c r="E76" s="6" t="str">
        <f aca="false">IF(AND(ISNUMBER(C76),ISNUMBER(D76),D76&gt;C76),(D76-C76)*24,"")</f>
        <v/>
      </c>
      <c r="F76" s="8"/>
      <c r="G76" s="8"/>
    </row>
    <row r="77" customFormat="false" ht="15" hidden="false" customHeight="false" outlineLevel="0" collapsed="false">
      <c r="A77" s="4"/>
      <c r="B77" s="8"/>
      <c r="C77" s="18"/>
      <c r="D77" s="18"/>
      <c r="E77" s="6" t="str">
        <f aca="false">IF(AND(ISNUMBER(C77),ISNUMBER(D77),D77&gt;C77),(D77-C77)*24,"")</f>
        <v/>
      </c>
      <c r="F77" s="8"/>
      <c r="G77" s="8"/>
    </row>
    <row r="78" customFormat="false" ht="15" hidden="false" customHeight="false" outlineLevel="0" collapsed="false">
      <c r="A78" s="4"/>
      <c r="B78" s="8"/>
      <c r="C78" s="18"/>
      <c r="D78" s="18"/>
      <c r="E78" s="6" t="str">
        <f aca="false">IF(AND(ISNUMBER(C78),ISNUMBER(D78),D78&gt;C78),(D78-C78)*24,"")</f>
        <v/>
      </c>
      <c r="F78" s="8"/>
      <c r="G78" s="8"/>
    </row>
    <row r="79" customFormat="false" ht="15" hidden="false" customHeight="false" outlineLevel="0" collapsed="false">
      <c r="A79" s="4"/>
      <c r="B79" s="8"/>
      <c r="C79" s="18"/>
      <c r="D79" s="18"/>
      <c r="E79" s="6" t="str">
        <f aca="false">IF(AND(ISNUMBER(C79),ISNUMBER(D79),D79&gt;C79),(D79-C79)*24,"")</f>
        <v/>
      </c>
      <c r="F79" s="8"/>
      <c r="G79" s="8"/>
    </row>
    <row r="80" customFormat="false" ht="15" hidden="false" customHeight="false" outlineLevel="0" collapsed="false">
      <c r="A80" s="4"/>
      <c r="B80" s="8"/>
      <c r="C80" s="18"/>
      <c r="D80" s="18"/>
      <c r="E80" s="6" t="str">
        <f aca="false">IF(AND(ISNUMBER(C80),ISNUMBER(D80),D80&gt;C80),(D80-C80)*24,"")</f>
        <v/>
      </c>
      <c r="F80" s="8"/>
      <c r="G80" s="8"/>
    </row>
    <row r="81" customFormat="false" ht="15" hidden="false" customHeight="false" outlineLevel="0" collapsed="false">
      <c r="A81" s="4"/>
      <c r="B81" s="8"/>
      <c r="C81" s="18"/>
      <c r="D81" s="18"/>
      <c r="E81" s="6" t="str">
        <f aca="false">IF(AND(ISNUMBER(C81),ISNUMBER(D81),D81&gt;C81),(D81-C81)*24,"")</f>
        <v/>
      </c>
      <c r="F81" s="8"/>
      <c r="G81" s="8"/>
    </row>
    <row r="82" customFormat="false" ht="15" hidden="false" customHeight="false" outlineLevel="0" collapsed="false">
      <c r="A82" s="4"/>
      <c r="B82" s="8"/>
      <c r="C82" s="18"/>
      <c r="D82" s="18"/>
      <c r="E82" s="6" t="str">
        <f aca="false">IF(AND(ISNUMBER(C82),ISNUMBER(D82),D82&gt;C82),(D82-C82)*24,"")</f>
        <v/>
      </c>
      <c r="F82" s="8"/>
      <c r="G82" s="8"/>
    </row>
    <row r="83" customFormat="false" ht="15" hidden="false" customHeight="false" outlineLevel="0" collapsed="false">
      <c r="A83" s="4"/>
      <c r="B83" s="8"/>
      <c r="C83" s="18"/>
      <c r="D83" s="18"/>
      <c r="E83" s="6" t="str">
        <f aca="false">IF(AND(ISNUMBER(C83),ISNUMBER(D83),D83&gt;C83),(D83-C83)*24,"")</f>
        <v/>
      </c>
      <c r="F83" s="8"/>
      <c r="G83" s="8"/>
    </row>
    <row r="84" customFormat="false" ht="15" hidden="false" customHeight="false" outlineLevel="0" collapsed="false">
      <c r="A84" s="4"/>
      <c r="B84" s="8"/>
      <c r="C84" s="18"/>
      <c r="D84" s="18"/>
      <c r="E84" s="6" t="str">
        <f aca="false">IF(AND(ISNUMBER(C84),ISNUMBER(D84),D84&gt;C84),(D84-C84)*24,"")</f>
        <v/>
      </c>
      <c r="F84" s="8"/>
      <c r="G84" s="8"/>
    </row>
    <row r="85" customFormat="false" ht="15" hidden="false" customHeight="false" outlineLevel="0" collapsed="false">
      <c r="A85" s="4"/>
      <c r="B85" s="8"/>
      <c r="C85" s="18"/>
      <c r="D85" s="18"/>
      <c r="E85" s="6" t="str">
        <f aca="false">IF(AND(ISNUMBER(C85),ISNUMBER(D85),D85&gt;C85),(D85-C85)*24,"")</f>
        <v/>
      </c>
      <c r="F85" s="8"/>
      <c r="G85" s="8"/>
    </row>
    <row r="86" customFormat="false" ht="15" hidden="false" customHeight="false" outlineLevel="0" collapsed="false">
      <c r="A86" s="4"/>
      <c r="B86" s="8"/>
      <c r="C86" s="18"/>
      <c r="D86" s="18"/>
      <c r="E86" s="6" t="str">
        <f aca="false">IF(AND(ISNUMBER(C86),ISNUMBER(D86),D86&gt;C86),(D86-C86)*24,"")</f>
        <v/>
      </c>
      <c r="F86" s="8"/>
      <c r="G86" s="8"/>
    </row>
    <row r="87" customFormat="false" ht="15" hidden="false" customHeight="false" outlineLevel="0" collapsed="false">
      <c r="A87" s="4"/>
      <c r="B87" s="8"/>
      <c r="C87" s="18"/>
      <c r="D87" s="18"/>
      <c r="E87" s="6" t="str">
        <f aca="false">IF(AND(ISNUMBER(C87),ISNUMBER(D87),D87&gt;C87),(D87-C87)*24,"")</f>
        <v/>
      </c>
      <c r="F87" s="8"/>
      <c r="G87" s="8"/>
    </row>
    <row r="88" customFormat="false" ht="15" hidden="false" customHeight="false" outlineLevel="0" collapsed="false">
      <c r="A88" s="4"/>
      <c r="B88" s="8"/>
      <c r="C88" s="18"/>
      <c r="D88" s="18"/>
      <c r="E88" s="6" t="str">
        <f aca="false">IF(AND(ISNUMBER(C88),ISNUMBER(D88),D88&gt;C88),(D88-C88)*24,"")</f>
        <v/>
      </c>
      <c r="F88" s="8"/>
      <c r="G88" s="8"/>
    </row>
    <row r="89" customFormat="false" ht="15" hidden="false" customHeight="false" outlineLevel="0" collapsed="false">
      <c r="A89" s="4"/>
      <c r="B89" s="8"/>
      <c r="C89" s="18"/>
      <c r="D89" s="18"/>
      <c r="E89" s="6" t="str">
        <f aca="false">IF(AND(ISNUMBER(C89),ISNUMBER(D89),D89&gt;C89),(D89-C89)*24,"")</f>
        <v/>
      </c>
      <c r="F89" s="8"/>
      <c r="G89" s="8"/>
    </row>
    <row r="90" customFormat="false" ht="15" hidden="false" customHeight="false" outlineLevel="0" collapsed="false">
      <c r="A90" s="4"/>
      <c r="B90" s="8"/>
      <c r="C90" s="18"/>
      <c r="D90" s="18"/>
      <c r="E90" s="6" t="str">
        <f aca="false">IF(AND(ISNUMBER(C90),ISNUMBER(D90),D90&gt;C90),(D90-C90)*24,"")</f>
        <v/>
      </c>
      <c r="F90" s="8"/>
      <c r="G90" s="8"/>
    </row>
    <row r="91" customFormat="false" ht="15" hidden="false" customHeight="false" outlineLevel="0" collapsed="false">
      <c r="A91" s="4"/>
      <c r="B91" s="8"/>
      <c r="C91" s="18"/>
      <c r="D91" s="18"/>
      <c r="E91" s="6" t="str">
        <f aca="false">IF(AND(ISNUMBER(C91),ISNUMBER(D91),D91&gt;C91),(D91-C91)*24,"")</f>
        <v/>
      </c>
      <c r="F91" s="8"/>
      <c r="G91" s="8"/>
    </row>
    <row r="92" customFormat="false" ht="15" hidden="false" customHeight="false" outlineLevel="0" collapsed="false">
      <c r="A92" s="4"/>
      <c r="B92" s="8"/>
      <c r="C92" s="18"/>
      <c r="D92" s="18"/>
      <c r="E92" s="6" t="str">
        <f aca="false">IF(AND(ISNUMBER(C92),ISNUMBER(D92),D92&gt;C92),(D92-C92)*24,"")</f>
        <v/>
      </c>
      <c r="F92" s="8"/>
      <c r="G92" s="8"/>
    </row>
    <row r="93" customFormat="false" ht="15" hidden="false" customHeight="false" outlineLevel="0" collapsed="false">
      <c r="A93" s="4"/>
      <c r="B93" s="8"/>
      <c r="C93" s="18"/>
      <c r="D93" s="18"/>
      <c r="E93" s="6" t="str">
        <f aca="false">IF(AND(ISNUMBER(C93),ISNUMBER(D93),D93&gt;C93),(D93-C93)*24,"")</f>
        <v/>
      </c>
      <c r="F93" s="8"/>
      <c r="G93" s="8"/>
    </row>
    <row r="94" customFormat="false" ht="15" hidden="false" customHeight="false" outlineLevel="0" collapsed="false">
      <c r="A94" s="4"/>
      <c r="B94" s="8"/>
      <c r="C94" s="18"/>
      <c r="D94" s="18"/>
      <c r="E94" s="6" t="str">
        <f aca="false">IF(AND(ISNUMBER(C94),ISNUMBER(D94),D94&gt;C94),(D94-C94)*24,"")</f>
        <v/>
      </c>
      <c r="F94" s="8"/>
      <c r="G94" s="8"/>
    </row>
    <row r="95" customFormat="false" ht="15" hidden="false" customHeight="false" outlineLevel="0" collapsed="false">
      <c r="A95" s="4"/>
      <c r="B95" s="8"/>
      <c r="C95" s="18"/>
      <c r="D95" s="18"/>
      <c r="E95" s="6" t="str">
        <f aca="false">IF(AND(ISNUMBER(C95),ISNUMBER(D95),D95&gt;C95),(D95-C95)*24,"")</f>
        <v/>
      </c>
      <c r="F95" s="8"/>
      <c r="G95" s="8"/>
    </row>
    <row r="96" customFormat="false" ht="15" hidden="false" customHeight="false" outlineLevel="0" collapsed="false">
      <c r="A96" s="4"/>
      <c r="B96" s="8"/>
      <c r="C96" s="18"/>
      <c r="D96" s="18"/>
      <c r="E96" s="6" t="str">
        <f aca="false">IF(AND(ISNUMBER(C96),ISNUMBER(D96),D96&gt;C96),(D96-C96)*24,"")</f>
        <v/>
      </c>
      <c r="F96" s="8"/>
      <c r="G96" s="8"/>
    </row>
    <row r="97" customFormat="false" ht="15" hidden="false" customHeight="false" outlineLevel="0" collapsed="false">
      <c r="A97" s="4"/>
      <c r="B97" s="8"/>
      <c r="C97" s="18"/>
      <c r="D97" s="18"/>
      <c r="E97" s="6" t="str">
        <f aca="false">IF(AND(ISNUMBER(C97),ISNUMBER(D97),D97&gt;C97),(D97-C97)*24,"")</f>
        <v/>
      </c>
      <c r="F97" s="8"/>
      <c r="G97" s="8"/>
    </row>
    <row r="98" customFormat="false" ht="15" hidden="false" customHeight="false" outlineLevel="0" collapsed="false">
      <c r="A98" s="4"/>
      <c r="B98" s="8"/>
      <c r="C98" s="18"/>
      <c r="D98" s="18"/>
      <c r="E98" s="6" t="str">
        <f aca="false">IF(AND(ISNUMBER(C98),ISNUMBER(D98),D98&gt;C98),(D98-C98)*24,"")</f>
        <v/>
      </c>
      <c r="F98" s="8"/>
      <c r="G98" s="8"/>
    </row>
    <row r="99" customFormat="false" ht="15" hidden="false" customHeight="false" outlineLevel="0" collapsed="false">
      <c r="A99" s="4"/>
      <c r="B99" s="8"/>
      <c r="C99" s="18"/>
      <c r="D99" s="18"/>
      <c r="E99" s="6" t="str">
        <f aca="false">IF(AND(ISNUMBER(C99),ISNUMBER(D99),D99&gt;C99),(D99-C99)*24,"")</f>
        <v/>
      </c>
      <c r="F99" s="8"/>
      <c r="G99" s="8"/>
    </row>
    <row r="100" customFormat="false" ht="15" hidden="false" customHeight="false" outlineLevel="0" collapsed="false">
      <c r="A100" s="4"/>
      <c r="B100" s="8"/>
      <c r="C100" s="18"/>
      <c r="D100" s="18"/>
      <c r="E100" s="6" t="str">
        <f aca="false">IF(AND(ISNUMBER(C100),ISNUMBER(D100),D100&gt;C100),(D100-C100)*24,"")</f>
        <v/>
      </c>
      <c r="F100" s="8"/>
      <c r="G100" s="8"/>
    </row>
    <row r="101" customFormat="false" ht="15" hidden="false" customHeight="false" outlineLevel="0" collapsed="false">
      <c r="A101" s="4"/>
      <c r="B101" s="8"/>
      <c r="C101" s="18"/>
      <c r="D101" s="18"/>
      <c r="E101" s="6" t="str">
        <f aca="false">IF(AND(ISNUMBER(C101),ISNUMBER(D101),D101&gt;C101),(D101-C101)*24,"")</f>
        <v/>
      </c>
      <c r="F101" s="8"/>
      <c r="G101" s="8"/>
    </row>
    <row r="102" customFormat="false" ht="15" hidden="false" customHeight="false" outlineLevel="0" collapsed="false">
      <c r="A102" s="4"/>
      <c r="B102" s="8"/>
      <c r="C102" s="18"/>
      <c r="D102" s="18"/>
      <c r="E102" s="6" t="str">
        <f aca="false">IF(AND(ISNUMBER(C102),ISNUMBER(D102),D102&gt;C102),(D102-C102)*24,"")</f>
        <v/>
      </c>
      <c r="F102" s="8"/>
      <c r="G102" s="8"/>
    </row>
    <row r="103" customFormat="false" ht="15" hidden="false" customHeight="false" outlineLevel="0" collapsed="false">
      <c r="A103" s="4"/>
      <c r="B103" s="8"/>
      <c r="C103" s="18"/>
      <c r="D103" s="18"/>
      <c r="E103" s="6" t="str">
        <f aca="false">IF(AND(ISNUMBER(C103),ISNUMBER(D103),D103&gt;C103),(D103-C103)*24,"")</f>
        <v/>
      </c>
      <c r="F103" s="8"/>
      <c r="G103" s="8"/>
    </row>
    <row r="104" customFormat="false" ht="15" hidden="false" customHeight="false" outlineLevel="0" collapsed="false">
      <c r="A104" s="4"/>
      <c r="B104" s="8"/>
      <c r="C104" s="18"/>
      <c r="D104" s="18"/>
      <c r="E104" s="6" t="str">
        <f aca="false">IF(AND(ISNUMBER(C104),ISNUMBER(D104),D104&gt;C104),(D104-C104)*24,"")</f>
        <v/>
      </c>
      <c r="F104" s="8"/>
      <c r="G104" s="8"/>
    </row>
    <row r="106" customFormat="false" ht="15" hidden="false" customHeight="false" outlineLevel="0" collapsed="false">
      <c r="D106" s="9" t="s">
        <v>61</v>
      </c>
      <c r="E106" s="15" t="n">
        <f aca="false">SUM(E5:E104)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16" t="s">
        <v>64</v>
      </c>
      <c r="B4" s="8" t="s">
        <v>65</v>
      </c>
    </row>
    <row r="5" customFormat="false" ht="15" hidden="false" customHeight="false" outlineLevel="0" collapsed="false">
      <c r="A5" s="16" t="s">
        <v>66</v>
      </c>
      <c r="B5" s="19" t="n">
        <v>28</v>
      </c>
    </row>
    <row r="6" customFormat="false" ht="15" hidden="false" customHeight="false" outlineLevel="0" collapsed="false">
      <c r="A6" s="16" t="s">
        <v>4</v>
      </c>
      <c r="B6" s="19" t="n">
        <v>165</v>
      </c>
    </row>
    <row r="7" customFormat="false" ht="15" hidden="false" customHeight="false" outlineLevel="0" collapsed="false">
      <c r="A7" s="16" t="s">
        <v>3</v>
      </c>
      <c r="B7" s="5" t="n">
        <v>72.5</v>
      </c>
    </row>
    <row r="8" customFormat="false" ht="15" hidden="false" customHeight="false" outlineLevel="0" collapsed="false">
      <c r="A8" s="16" t="s">
        <v>67</v>
      </c>
      <c r="B8" s="20" t="n">
        <v>1.375</v>
      </c>
      <c r="C8" s="2" t="s">
        <v>68</v>
      </c>
    </row>
    <row r="9" customFormat="false" ht="15" hidden="false" customHeight="false" outlineLevel="0" collapsed="false">
      <c r="A9" s="16" t="s">
        <v>69</v>
      </c>
      <c r="B9" s="19" t="n">
        <v>-500</v>
      </c>
    </row>
    <row r="10" customFormat="false" ht="15" hidden="false" customHeight="false" outlineLevel="0" collapsed="false">
      <c r="A10" s="16" t="s">
        <v>70</v>
      </c>
      <c r="B10" s="19" t="n">
        <v>50</v>
      </c>
    </row>
    <row r="11" customFormat="false" ht="15" hidden="false" customHeight="false" outlineLevel="0" collapsed="false">
      <c r="A11" s="16" t="s">
        <v>71</v>
      </c>
      <c r="B11" s="19" t="n">
        <v>20</v>
      </c>
    </row>
    <row r="12" customFormat="false" ht="15" hidden="false" customHeight="false" outlineLevel="0" collapsed="false">
      <c r="A12" s="21" t="s">
        <v>72</v>
      </c>
    </row>
    <row r="13" customFormat="false" ht="15" hidden="false" customHeight="false" outlineLevel="0" collapsed="false">
      <c r="A13" s="16" t="s">
        <v>8</v>
      </c>
      <c r="B13" s="6" t="n">
        <f aca="false">B7/(B6/100)^2</f>
        <v>26.6299357208448</v>
      </c>
    </row>
    <row r="14" customFormat="false" ht="15" hidden="false" customHeight="false" outlineLevel="0" collapsed="false">
      <c r="A14" s="16" t="s">
        <v>73</v>
      </c>
      <c r="B14" s="14" t="n">
        <f aca="false">10*B7+6.25*B6-5*B5+IF(B4="E",5,-161)</f>
        <v>1455.25</v>
      </c>
    </row>
    <row r="15" customFormat="false" ht="15" hidden="false" customHeight="false" outlineLevel="0" collapsed="false">
      <c r="A15" s="16" t="s">
        <v>74</v>
      </c>
      <c r="B15" s="14" t="n">
        <f aca="false">IF(B4="E",88.362+13.397*B7+4.799*B6-5.677*B5,447.593+9.247*B7+3.098*B6-4.33*B5)</f>
        <v>1507.9305</v>
      </c>
    </row>
    <row r="16" customFormat="false" ht="15" hidden="false" customHeight="false" outlineLevel="0" collapsed="false">
      <c r="A16" s="16" t="s">
        <v>75</v>
      </c>
      <c r="B16" s="14" t="n">
        <f aca="false">B14*B8</f>
        <v>2000.96875</v>
      </c>
    </row>
    <row r="17" customFormat="false" ht="15" hidden="false" customHeight="false" outlineLevel="0" collapsed="false">
      <c r="A17" s="9" t="s">
        <v>76</v>
      </c>
      <c r="B17" s="22" t="n">
        <f aca="false">B16+B9</f>
        <v>1500.96875</v>
      </c>
    </row>
    <row r="18" customFormat="false" ht="15" hidden="false" customHeight="false" outlineLevel="0" collapsed="false">
      <c r="A18" s="16" t="s">
        <v>77</v>
      </c>
      <c r="B18" s="17" t="n">
        <f aca="false">100-B10-B11</f>
        <v>30</v>
      </c>
    </row>
    <row r="19" customFormat="false" ht="15" hidden="false" customHeight="false" outlineLevel="0" collapsed="false">
      <c r="A19" s="16" t="s">
        <v>78</v>
      </c>
      <c r="B19" s="17" t="n">
        <f aca="false">B17*B10/100/4</f>
        <v>187.62109375</v>
      </c>
    </row>
    <row r="20" customFormat="false" ht="15" hidden="false" customHeight="false" outlineLevel="0" collapsed="false">
      <c r="A20" s="16" t="s">
        <v>42</v>
      </c>
      <c r="B20" s="17" t="n">
        <f aca="false">B17*B11/100/4</f>
        <v>75.0484375</v>
      </c>
    </row>
    <row r="21" customFormat="false" ht="15" hidden="false" customHeight="false" outlineLevel="0" collapsed="false">
      <c r="A21" s="16" t="s">
        <v>79</v>
      </c>
      <c r="B21" s="7" t="n">
        <f aca="false">B20/B7</f>
        <v>1.03515086206897</v>
      </c>
    </row>
    <row r="22" customFormat="false" ht="15" hidden="false" customHeight="false" outlineLevel="0" collapsed="false">
      <c r="A22" s="16" t="s">
        <v>44</v>
      </c>
      <c r="B22" s="17" t="n">
        <f aca="false">B17*B18/100/9</f>
        <v>50.0322916666667</v>
      </c>
    </row>
    <row r="25" customFormat="false" ht="15" hidden="false" customHeight="false" outlineLevel="0" collapsed="false">
      <c r="A25" s="2" t="s">
        <v>80</v>
      </c>
    </row>
  </sheetData>
  <dataValidations count="1">
    <dataValidation allowBlank="false" errorStyle="stop" operator="between" showDropDown="false" showErrorMessage="false" showInputMessage="false" sqref="B4" type="list">
      <formula1>"E,K"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2026-09-18T21:01:11Z</dcterms:created>
  <dc:creator>openpyxl</dc:creator>
  <dc:description/>
  <dc:language>en-US</dc:language>
  <cp:lastModifiedBy/>
  <dcterms:modified xsi:type="dcterms:W3CDTF">2026-09-18T21:01:11Z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